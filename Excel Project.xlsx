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C8A6A04051192F/Python Mini Projects/Excel/"/>
    </mc:Choice>
  </mc:AlternateContent>
  <xr:revisionPtr revIDLastSave="32" documentId="13_ncr:1_{06E088EF-DEDD-4C79-9CAA-CA529F33FE5A}" xr6:coauthVersionLast="47" xr6:coauthVersionMax="47" xr10:uidLastSave="{A35A991F-974E-4BD3-9B8E-A1D38BBBEEEB}"/>
  <workbookProtection workbookAlgorithmName="SHA-512" workbookHashValue="bTe0Ra50OYCHEBuVoE7KN2sn8157nCfugMMmiFRkxq4DuczvaqMb07jYKYkFvsNBEJKMpmq+t3Y1deAAu9xGkA==" workbookSaltValue="QjRUEuQJx7Ok3XfDv3m9lw==" workbookSpinCount="100000" lockStructure="1"/>
  <bookViews>
    <workbookView xWindow="-108" yWindow="-108" windowWidth="23256" windowHeight="12456" activeTab="6" xr2:uid="{6682FE01-F799-4643-9A27-75FF60A7F63C}"/>
  </bookViews>
  <sheets>
    <sheet name="Report Card" sheetId="7" r:id="rId1"/>
    <sheet name="Student Information" sheetId="8" r:id="rId2"/>
    <sheet name="Marks Input" sheetId="3" r:id="rId3"/>
    <sheet name="FM-1" sheetId="4" r:id="rId4"/>
    <sheet name="FM-2" sheetId="2" r:id="rId5"/>
    <sheet name="Students Attendance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" l="1"/>
  <c r="G39" i="3"/>
  <c r="D33" i="3"/>
  <c r="G1148" i="7"/>
  <c r="I1137" i="7"/>
  <c r="I1136" i="7"/>
  <c r="I1135" i="7"/>
  <c r="I1134" i="7"/>
  <c r="I1133" i="7"/>
  <c r="I1132" i="7"/>
  <c r="I1131" i="7"/>
  <c r="I1130" i="7"/>
  <c r="C1138" i="7"/>
  <c r="C1137" i="7"/>
  <c r="C1136" i="7"/>
  <c r="C1135" i="7"/>
  <c r="C1134" i="7"/>
  <c r="C1133" i="7"/>
  <c r="D1133" i="7" s="1"/>
  <c r="E1133" i="7" s="1"/>
  <c r="C1132" i="7"/>
  <c r="C1131" i="7"/>
  <c r="C1130" i="7"/>
  <c r="C1129" i="7"/>
  <c r="H1125" i="7"/>
  <c r="B1147" i="7" s="1"/>
  <c r="H1124" i="7"/>
  <c r="C1125" i="7"/>
  <c r="C1124" i="7"/>
  <c r="G1113" i="7"/>
  <c r="I1102" i="7"/>
  <c r="I1101" i="7"/>
  <c r="I1100" i="7"/>
  <c r="I1099" i="7"/>
  <c r="I1098" i="7"/>
  <c r="I1097" i="7"/>
  <c r="I1096" i="7"/>
  <c r="I1095" i="7"/>
  <c r="C1103" i="7"/>
  <c r="C1102" i="7"/>
  <c r="C1101" i="7"/>
  <c r="C1100" i="7"/>
  <c r="C1099" i="7"/>
  <c r="C1098" i="7"/>
  <c r="C1097" i="7"/>
  <c r="D1097" i="7" s="1"/>
  <c r="E1097" i="7" s="1"/>
  <c r="C1096" i="7"/>
  <c r="C1095" i="7"/>
  <c r="C1094" i="7"/>
  <c r="H1090" i="7"/>
  <c r="B1112" i="7" s="1"/>
  <c r="H1089" i="7"/>
  <c r="C1090" i="7"/>
  <c r="C1089" i="7"/>
  <c r="G1078" i="7"/>
  <c r="I1067" i="7"/>
  <c r="I1066" i="7"/>
  <c r="I1065" i="7"/>
  <c r="I1064" i="7"/>
  <c r="I1063" i="7"/>
  <c r="I1062" i="7"/>
  <c r="I1061" i="7"/>
  <c r="I1060" i="7"/>
  <c r="C1067" i="7"/>
  <c r="C1066" i="7"/>
  <c r="C1065" i="7"/>
  <c r="C1064" i="7"/>
  <c r="C1063" i="7"/>
  <c r="C1062" i="7"/>
  <c r="C1061" i="7"/>
  <c r="C1060" i="7"/>
  <c r="D1060" i="7" s="1"/>
  <c r="E1060" i="7" s="1"/>
  <c r="H1055" i="7"/>
  <c r="H1054" i="7"/>
  <c r="C1055" i="7"/>
  <c r="C1054" i="7"/>
  <c r="B1152" i="7"/>
  <c r="G1137" i="7"/>
  <c r="F1137" i="7"/>
  <c r="B1137" i="7"/>
  <c r="D1137" i="7" s="1"/>
  <c r="E1137" i="7" s="1"/>
  <c r="A1137" i="7"/>
  <c r="G1136" i="7"/>
  <c r="F1136" i="7"/>
  <c r="D1136" i="7"/>
  <c r="E1136" i="7" s="1"/>
  <c r="B1136" i="7"/>
  <c r="A1136" i="7"/>
  <c r="G1135" i="7"/>
  <c r="F1135" i="7"/>
  <c r="B1135" i="7"/>
  <c r="D1135" i="7" s="1"/>
  <c r="E1135" i="7" s="1"/>
  <c r="A1135" i="7"/>
  <c r="G1134" i="7"/>
  <c r="F1134" i="7"/>
  <c r="B1134" i="7"/>
  <c r="A1134" i="7"/>
  <c r="G1133" i="7"/>
  <c r="F1133" i="7"/>
  <c r="B1133" i="7"/>
  <c r="A1133" i="7"/>
  <c r="G1132" i="7"/>
  <c r="F1132" i="7"/>
  <c r="B1132" i="7"/>
  <c r="A1132" i="7"/>
  <c r="G1131" i="7"/>
  <c r="F1131" i="7"/>
  <c r="D1131" i="7"/>
  <c r="E1131" i="7" s="1"/>
  <c r="B1131" i="7"/>
  <c r="A1131" i="7"/>
  <c r="G1130" i="7"/>
  <c r="F1130" i="7"/>
  <c r="B1130" i="7"/>
  <c r="D1130" i="7" s="1"/>
  <c r="E1130" i="7" s="1"/>
  <c r="A1130" i="7"/>
  <c r="G1129" i="7"/>
  <c r="F1129" i="7"/>
  <c r="B1129" i="7"/>
  <c r="A1129" i="7"/>
  <c r="C1126" i="7"/>
  <c r="E1125" i="7"/>
  <c r="E1147" i="7" s="1"/>
  <c r="A1122" i="7"/>
  <c r="A1121" i="7"/>
  <c r="F1144" i="7" s="1"/>
  <c r="B1117" i="7"/>
  <c r="G1102" i="7"/>
  <c r="F1102" i="7"/>
  <c r="D1102" i="7"/>
  <c r="E1102" i="7" s="1"/>
  <c r="B1102" i="7"/>
  <c r="A1102" i="7"/>
  <c r="G1101" i="7"/>
  <c r="F1101" i="7"/>
  <c r="D1101" i="7"/>
  <c r="E1101" i="7" s="1"/>
  <c r="B1101" i="7"/>
  <c r="A1101" i="7"/>
  <c r="G1100" i="7"/>
  <c r="F1100" i="7"/>
  <c r="B1100" i="7"/>
  <c r="A1100" i="7"/>
  <c r="G1099" i="7"/>
  <c r="F1099" i="7"/>
  <c r="B1099" i="7"/>
  <c r="D1099" i="7" s="1"/>
  <c r="E1099" i="7" s="1"/>
  <c r="A1099" i="7"/>
  <c r="G1098" i="7"/>
  <c r="F1098" i="7"/>
  <c r="B1098" i="7"/>
  <c r="D1098" i="7" s="1"/>
  <c r="E1098" i="7" s="1"/>
  <c r="A1098" i="7"/>
  <c r="G1097" i="7"/>
  <c r="F1097" i="7"/>
  <c r="B1097" i="7"/>
  <c r="A1097" i="7"/>
  <c r="G1096" i="7"/>
  <c r="F1096" i="7"/>
  <c r="D1096" i="7"/>
  <c r="E1096" i="7" s="1"/>
  <c r="B1096" i="7"/>
  <c r="A1096" i="7"/>
  <c r="G1095" i="7"/>
  <c r="F1095" i="7"/>
  <c r="D1095" i="7"/>
  <c r="E1095" i="7" s="1"/>
  <c r="B1095" i="7"/>
  <c r="A1095" i="7"/>
  <c r="G1094" i="7"/>
  <c r="F1094" i="7"/>
  <c r="B1094" i="7"/>
  <c r="D1094" i="7" s="1"/>
  <c r="E1094" i="7" s="1"/>
  <c r="A1094" i="7"/>
  <c r="C1091" i="7"/>
  <c r="E1090" i="7"/>
  <c r="E1112" i="7" s="1"/>
  <c r="A1087" i="7"/>
  <c r="A1086" i="7"/>
  <c r="F1109" i="7" s="1"/>
  <c r="B1082" i="7"/>
  <c r="G1067" i="7"/>
  <c r="F1067" i="7"/>
  <c r="D1067" i="7"/>
  <c r="E1067" i="7" s="1"/>
  <c r="B1067" i="7"/>
  <c r="A1067" i="7"/>
  <c r="G1066" i="7"/>
  <c r="F1066" i="7"/>
  <c r="B1066" i="7"/>
  <c r="D1066" i="7" s="1"/>
  <c r="E1066" i="7" s="1"/>
  <c r="A1066" i="7"/>
  <c r="G1065" i="7"/>
  <c r="F1065" i="7"/>
  <c r="B1065" i="7"/>
  <c r="A1065" i="7"/>
  <c r="G1064" i="7"/>
  <c r="F1064" i="7"/>
  <c r="D1064" i="7"/>
  <c r="E1064" i="7" s="1"/>
  <c r="B1064" i="7"/>
  <c r="A1064" i="7"/>
  <c r="G1063" i="7"/>
  <c r="F1063" i="7"/>
  <c r="B1063" i="7"/>
  <c r="D1063" i="7" s="1"/>
  <c r="E1063" i="7" s="1"/>
  <c r="A1063" i="7"/>
  <c r="G1062" i="7"/>
  <c r="F1062" i="7"/>
  <c r="B1062" i="7"/>
  <c r="A1062" i="7"/>
  <c r="G1061" i="7"/>
  <c r="F1061" i="7"/>
  <c r="D1061" i="7"/>
  <c r="E1061" i="7" s="1"/>
  <c r="B1061" i="7"/>
  <c r="A1061" i="7"/>
  <c r="G1060" i="7"/>
  <c r="F1060" i="7"/>
  <c r="B1060" i="7"/>
  <c r="A1060" i="7"/>
  <c r="G1059" i="7"/>
  <c r="F1059" i="7"/>
  <c r="B1059" i="7"/>
  <c r="A1059" i="7"/>
  <c r="C1056" i="7"/>
  <c r="B1077" i="7"/>
  <c r="E1055" i="7"/>
  <c r="E1077" i="7" s="1"/>
  <c r="A1052" i="7"/>
  <c r="A1051" i="7"/>
  <c r="F1074" i="7" s="1"/>
  <c r="G1043" i="7"/>
  <c r="I1032" i="7"/>
  <c r="I1031" i="7"/>
  <c r="I1030" i="7"/>
  <c r="I1029" i="7"/>
  <c r="I1028" i="7"/>
  <c r="I1027" i="7"/>
  <c r="I1026" i="7"/>
  <c r="I1025" i="7"/>
  <c r="C1033" i="7"/>
  <c r="C1032" i="7"/>
  <c r="D1032" i="7" s="1"/>
  <c r="E1032" i="7" s="1"/>
  <c r="C1031" i="7"/>
  <c r="D1031" i="7" s="1"/>
  <c r="E1031" i="7" s="1"/>
  <c r="C1030" i="7"/>
  <c r="D1030" i="7" s="1"/>
  <c r="E1030" i="7" s="1"/>
  <c r="C1029" i="7"/>
  <c r="D1029" i="7" s="1"/>
  <c r="E1029" i="7" s="1"/>
  <c r="C1028" i="7"/>
  <c r="C1027" i="7"/>
  <c r="C1026" i="7"/>
  <c r="D1026" i="7" s="1"/>
  <c r="E1026" i="7" s="1"/>
  <c r="C1025" i="7"/>
  <c r="C1024" i="7"/>
  <c r="C1020" i="7"/>
  <c r="H1020" i="7"/>
  <c r="H1019" i="7"/>
  <c r="C1019" i="7"/>
  <c r="B1047" i="7"/>
  <c r="G1032" i="7"/>
  <c r="F1032" i="7"/>
  <c r="B1032" i="7"/>
  <c r="A1032" i="7"/>
  <c r="G1031" i="7"/>
  <c r="F1031" i="7"/>
  <c r="B1031" i="7"/>
  <c r="A1031" i="7"/>
  <c r="G1030" i="7"/>
  <c r="F1030" i="7"/>
  <c r="B1030" i="7"/>
  <c r="A1030" i="7"/>
  <c r="G1029" i="7"/>
  <c r="F1029" i="7"/>
  <c r="B1029" i="7"/>
  <c r="A1029" i="7"/>
  <c r="G1028" i="7"/>
  <c r="F1028" i="7"/>
  <c r="B1028" i="7"/>
  <c r="D1028" i="7" s="1"/>
  <c r="E1028" i="7" s="1"/>
  <c r="A1028" i="7"/>
  <c r="G1027" i="7"/>
  <c r="F1027" i="7"/>
  <c r="B1027" i="7"/>
  <c r="A1027" i="7"/>
  <c r="G1026" i="7"/>
  <c r="F1026" i="7"/>
  <c r="B1026" i="7"/>
  <c r="A1026" i="7"/>
  <c r="G1025" i="7"/>
  <c r="F1025" i="7"/>
  <c r="B1025" i="7"/>
  <c r="A1025" i="7"/>
  <c r="G1024" i="7"/>
  <c r="F1024" i="7"/>
  <c r="B1024" i="7"/>
  <c r="A1024" i="7"/>
  <c r="C1021" i="7"/>
  <c r="B1042" i="7"/>
  <c r="E1020" i="7"/>
  <c r="E1042" i="7" s="1"/>
  <c r="A1017" i="7"/>
  <c r="A1016" i="7"/>
  <c r="F1039" i="7" s="1"/>
  <c r="G1008" i="7"/>
  <c r="I997" i="7"/>
  <c r="I996" i="7"/>
  <c r="I995" i="7"/>
  <c r="I994" i="7"/>
  <c r="I993" i="7"/>
  <c r="I992" i="7"/>
  <c r="I991" i="7"/>
  <c r="I990" i="7"/>
  <c r="C998" i="7"/>
  <c r="C997" i="7"/>
  <c r="C996" i="7"/>
  <c r="C995" i="7"/>
  <c r="C994" i="7"/>
  <c r="C993" i="7"/>
  <c r="C992" i="7"/>
  <c r="C991" i="7"/>
  <c r="C990" i="7"/>
  <c r="C989" i="7"/>
  <c r="C985" i="7"/>
  <c r="H985" i="7"/>
  <c r="B1007" i="7" s="1"/>
  <c r="H984" i="7"/>
  <c r="C984" i="7"/>
  <c r="B1012" i="7"/>
  <c r="G997" i="7"/>
  <c r="F997" i="7"/>
  <c r="B997" i="7"/>
  <c r="A997" i="7"/>
  <c r="G996" i="7"/>
  <c r="F996" i="7"/>
  <c r="B996" i="7"/>
  <c r="A996" i="7"/>
  <c r="G995" i="7"/>
  <c r="F995" i="7"/>
  <c r="B995" i="7"/>
  <c r="A995" i="7"/>
  <c r="G994" i="7"/>
  <c r="F994" i="7"/>
  <c r="B994" i="7"/>
  <c r="A994" i="7"/>
  <c r="G993" i="7"/>
  <c r="F993" i="7"/>
  <c r="B993" i="7"/>
  <c r="A993" i="7"/>
  <c r="G992" i="7"/>
  <c r="F992" i="7"/>
  <c r="B992" i="7"/>
  <c r="A992" i="7"/>
  <c r="G991" i="7"/>
  <c r="F991" i="7"/>
  <c r="B991" i="7"/>
  <c r="A991" i="7"/>
  <c r="G990" i="7"/>
  <c r="F990" i="7"/>
  <c r="B990" i="7"/>
  <c r="A990" i="7"/>
  <c r="G989" i="7"/>
  <c r="F989" i="7"/>
  <c r="B989" i="7"/>
  <c r="A989" i="7"/>
  <c r="C986" i="7"/>
  <c r="E985" i="7"/>
  <c r="E1007" i="7" s="1"/>
  <c r="A982" i="7"/>
  <c r="A981" i="7"/>
  <c r="F1004" i="7" s="1"/>
  <c r="G973" i="7"/>
  <c r="I962" i="7"/>
  <c r="I961" i="7"/>
  <c r="I960" i="7"/>
  <c r="I959" i="7"/>
  <c r="I958" i="7"/>
  <c r="I957" i="7"/>
  <c r="I956" i="7"/>
  <c r="I955" i="7"/>
  <c r="C963" i="7"/>
  <c r="C962" i="7"/>
  <c r="C961" i="7"/>
  <c r="C960" i="7"/>
  <c r="C959" i="7"/>
  <c r="C958" i="7"/>
  <c r="C957" i="7"/>
  <c r="C956" i="7"/>
  <c r="C955" i="7"/>
  <c r="C954" i="7"/>
  <c r="H950" i="7"/>
  <c r="B972" i="7" s="1"/>
  <c r="H949" i="7"/>
  <c r="C950" i="7"/>
  <c r="C949" i="7"/>
  <c r="B977" i="7"/>
  <c r="G962" i="7"/>
  <c r="F962" i="7"/>
  <c r="B962" i="7"/>
  <c r="A962" i="7"/>
  <c r="G961" i="7"/>
  <c r="F961" i="7"/>
  <c r="B961" i="7"/>
  <c r="A961" i="7"/>
  <c r="G960" i="7"/>
  <c r="F960" i="7"/>
  <c r="B960" i="7"/>
  <c r="A960" i="7"/>
  <c r="G959" i="7"/>
  <c r="F959" i="7"/>
  <c r="B959" i="7"/>
  <c r="A959" i="7"/>
  <c r="G958" i="7"/>
  <c r="F958" i="7"/>
  <c r="B958" i="7"/>
  <c r="A958" i="7"/>
  <c r="G957" i="7"/>
  <c r="F957" i="7"/>
  <c r="B957" i="7"/>
  <c r="A957" i="7"/>
  <c r="G956" i="7"/>
  <c r="F956" i="7"/>
  <c r="B956" i="7"/>
  <c r="A956" i="7"/>
  <c r="G955" i="7"/>
  <c r="F955" i="7"/>
  <c r="B955" i="7"/>
  <c r="A955" i="7"/>
  <c r="G954" i="7"/>
  <c r="F954" i="7"/>
  <c r="B954" i="7"/>
  <c r="A954" i="7"/>
  <c r="C951" i="7"/>
  <c r="E950" i="7"/>
  <c r="E972" i="7" s="1"/>
  <c r="A947" i="7"/>
  <c r="A946" i="7"/>
  <c r="F969" i="7" s="1"/>
  <c r="G938" i="7"/>
  <c r="I927" i="7"/>
  <c r="I926" i="7"/>
  <c r="I925" i="7"/>
  <c r="I924" i="7"/>
  <c r="I923" i="7"/>
  <c r="I922" i="7"/>
  <c r="I921" i="7"/>
  <c r="I920" i="7"/>
  <c r="C928" i="7"/>
  <c r="C927" i="7"/>
  <c r="C926" i="7"/>
  <c r="C925" i="7"/>
  <c r="C924" i="7"/>
  <c r="C923" i="7"/>
  <c r="C922" i="7"/>
  <c r="C921" i="7"/>
  <c r="C920" i="7"/>
  <c r="C919" i="7"/>
  <c r="H915" i="7"/>
  <c r="B937" i="7" s="1"/>
  <c r="H914" i="7"/>
  <c r="C915" i="7"/>
  <c r="C914" i="7"/>
  <c r="B942" i="7"/>
  <c r="G927" i="7"/>
  <c r="F927" i="7"/>
  <c r="B927" i="7"/>
  <c r="A927" i="7"/>
  <c r="G926" i="7"/>
  <c r="F926" i="7"/>
  <c r="B926" i="7"/>
  <c r="A926" i="7"/>
  <c r="G925" i="7"/>
  <c r="F925" i="7"/>
  <c r="B925" i="7"/>
  <c r="A925" i="7"/>
  <c r="G924" i="7"/>
  <c r="F924" i="7"/>
  <c r="B924" i="7"/>
  <c r="A924" i="7"/>
  <c r="G923" i="7"/>
  <c r="F923" i="7"/>
  <c r="B923" i="7"/>
  <c r="A923" i="7"/>
  <c r="G922" i="7"/>
  <c r="F922" i="7"/>
  <c r="B922" i="7"/>
  <c r="A922" i="7"/>
  <c r="G921" i="7"/>
  <c r="F921" i="7"/>
  <c r="B921" i="7"/>
  <c r="A921" i="7"/>
  <c r="G920" i="7"/>
  <c r="F920" i="7"/>
  <c r="B920" i="7"/>
  <c r="A920" i="7"/>
  <c r="G919" i="7"/>
  <c r="F919" i="7"/>
  <c r="B919" i="7"/>
  <c r="A919" i="7"/>
  <c r="C916" i="7"/>
  <c r="E915" i="7"/>
  <c r="E937" i="7" s="1"/>
  <c r="A912" i="7"/>
  <c r="A911" i="7"/>
  <c r="F934" i="7" s="1"/>
  <c r="G903" i="7"/>
  <c r="I892" i="7"/>
  <c r="I891" i="7"/>
  <c r="I890" i="7"/>
  <c r="I889" i="7"/>
  <c r="I888" i="7"/>
  <c r="I887" i="7"/>
  <c r="I886" i="7"/>
  <c r="I885" i="7"/>
  <c r="C893" i="7"/>
  <c r="C892" i="7"/>
  <c r="C891" i="7"/>
  <c r="C890" i="7"/>
  <c r="C889" i="7"/>
  <c r="C888" i="7"/>
  <c r="C887" i="7"/>
  <c r="C886" i="7"/>
  <c r="C885" i="7"/>
  <c r="C884" i="7"/>
  <c r="H880" i="7"/>
  <c r="B902" i="7" s="1"/>
  <c r="H879" i="7"/>
  <c r="C880" i="7"/>
  <c r="C879" i="7"/>
  <c r="B907" i="7"/>
  <c r="G892" i="7"/>
  <c r="F892" i="7"/>
  <c r="B892" i="7"/>
  <c r="A892" i="7"/>
  <c r="G891" i="7"/>
  <c r="F891" i="7"/>
  <c r="B891" i="7"/>
  <c r="A891" i="7"/>
  <c r="G890" i="7"/>
  <c r="F890" i="7"/>
  <c r="B890" i="7"/>
  <c r="A890" i="7"/>
  <c r="G889" i="7"/>
  <c r="F889" i="7"/>
  <c r="B889" i="7"/>
  <c r="A889" i="7"/>
  <c r="G888" i="7"/>
  <c r="F888" i="7"/>
  <c r="B888" i="7"/>
  <c r="A888" i="7"/>
  <c r="G887" i="7"/>
  <c r="F887" i="7"/>
  <c r="B887" i="7"/>
  <c r="A887" i="7"/>
  <c r="G886" i="7"/>
  <c r="F886" i="7"/>
  <c r="B886" i="7"/>
  <c r="A886" i="7"/>
  <c r="G885" i="7"/>
  <c r="F885" i="7"/>
  <c r="B885" i="7"/>
  <c r="A885" i="7"/>
  <c r="G884" i="7"/>
  <c r="F884" i="7"/>
  <c r="B884" i="7"/>
  <c r="A884" i="7"/>
  <c r="C881" i="7"/>
  <c r="E880" i="7"/>
  <c r="E902" i="7" s="1"/>
  <c r="A877" i="7"/>
  <c r="A876" i="7"/>
  <c r="F899" i="7" s="1"/>
  <c r="I857" i="7"/>
  <c r="I856" i="7"/>
  <c r="I855" i="7"/>
  <c r="I854" i="7"/>
  <c r="I853" i="7"/>
  <c r="I852" i="7"/>
  <c r="I851" i="7"/>
  <c r="I850" i="7"/>
  <c r="C858" i="7"/>
  <c r="C857" i="7"/>
  <c r="C856" i="7"/>
  <c r="C855" i="7"/>
  <c r="C854" i="7"/>
  <c r="C853" i="7"/>
  <c r="C852" i="7"/>
  <c r="C851" i="7"/>
  <c r="C850" i="7"/>
  <c r="C849" i="7"/>
  <c r="G868" i="7"/>
  <c r="H845" i="7"/>
  <c r="B867" i="7" s="1"/>
  <c r="H844" i="7"/>
  <c r="C845" i="7"/>
  <c r="C844" i="7"/>
  <c r="B872" i="7"/>
  <c r="G857" i="7"/>
  <c r="F857" i="7"/>
  <c r="B857" i="7"/>
  <c r="A857" i="7"/>
  <c r="G856" i="7"/>
  <c r="F856" i="7"/>
  <c r="B856" i="7"/>
  <c r="A856" i="7"/>
  <c r="G855" i="7"/>
  <c r="F855" i="7"/>
  <c r="B855" i="7"/>
  <c r="A855" i="7"/>
  <c r="G854" i="7"/>
  <c r="F854" i="7"/>
  <c r="B854" i="7"/>
  <c r="A854" i="7"/>
  <c r="G853" i="7"/>
  <c r="F853" i="7"/>
  <c r="B853" i="7"/>
  <c r="A853" i="7"/>
  <c r="G852" i="7"/>
  <c r="F852" i="7"/>
  <c r="B852" i="7"/>
  <c r="A852" i="7"/>
  <c r="G851" i="7"/>
  <c r="F851" i="7"/>
  <c r="B851" i="7"/>
  <c r="A851" i="7"/>
  <c r="G850" i="7"/>
  <c r="F850" i="7"/>
  <c r="B850" i="7"/>
  <c r="A850" i="7"/>
  <c r="G849" i="7"/>
  <c r="F849" i="7"/>
  <c r="B849" i="7"/>
  <c r="A849" i="7"/>
  <c r="C846" i="7"/>
  <c r="E845" i="7"/>
  <c r="E867" i="7" s="1"/>
  <c r="A842" i="7"/>
  <c r="A841" i="7"/>
  <c r="F864" i="7" s="1"/>
  <c r="G833" i="7"/>
  <c r="I822" i="7"/>
  <c r="I821" i="7"/>
  <c r="I820" i="7"/>
  <c r="I819" i="7"/>
  <c r="I818" i="7"/>
  <c r="I817" i="7"/>
  <c r="I816" i="7"/>
  <c r="I815" i="7"/>
  <c r="C823" i="7"/>
  <c r="C822" i="7"/>
  <c r="C821" i="7"/>
  <c r="C820" i="7"/>
  <c r="C819" i="7"/>
  <c r="C818" i="7"/>
  <c r="C817" i="7"/>
  <c r="C816" i="7"/>
  <c r="C815" i="7"/>
  <c r="C814" i="7"/>
  <c r="H810" i="7"/>
  <c r="B832" i="7" s="1"/>
  <c r="H809" i="7"/>
  <c r="C810" i="7"/>
  <c r="C809" i="7"/>
  <c r="B837" i="7"/>
  <c r="G822" i="7"/>
  <c r="F822" i="7"/>
  <c r="B822" i="7"/>
  <c r="A822" i="7"/>
  <c r="G821" i="7"/>
  <c r="F821" i="7"/>
  <c r="B821" i="7"/>
  <c r="A821" i="7"/>
  <c r="G820" i="7"/>
  <c r="F820" i="7"/>
  <c r="B820" i="7"/>
  <c r="A820" i="7"/>
  <c r="G819" i="7"/>
  <c r="F819" i="7"/>
  <c r="B819" i="7"/>
  <c r="A819" i="7"/>
  <c r="G818" i="7"/>
  <c r="F818" i="7"/>
  <c r="B818" i="7"/>
  <c r="A818" i="7"/>
  <c r="G817" i="7"/>
  <c r="F817" i="7"/>
  <c r="B817" i="7"/>
  <c r="A817" i="7"/>
  <c r="G816" i="7"/>
  <c r="F816" i="7"/>
  <c r="B816" i="7"/>
  <c r="A816" i="7"/>
  <c r="G815" i="7"/>
  <c r="F815" i="7"/>
  <c r="B815" i="7"/>
  <c r="A815" i="7"/>
  <c r="G814" i="7"/>
  <c r="F814" i="7"/>
  <c r="B814" i="7"/>
  <c r="A814" i="7"/>
  <c r="C811" i="7"/>
  <c r="E810" i="7"/>
  <c r="E832" i="7" s="1"/>
  <c r="A807" i="7"/>
  <c r="A806" i="7"/>
  <c r="F829" i="7" s="1"/>
  <c r="G798" i="7"/>
  <c r="I787" i="7"/>
  <c r="I786" i="7"/>
  <c r="I785" i="7"/>
  <c r="I784" i="7"/>
  <c r="I783" i="7"/>
  <c r="I782" i="7"/>
  <c r="I781" i="7"/>
  <c r="I780" i="7"/>
  <c r="C788" i="7"/>
  <c r="C787" i="7"/>
  <c r="C786" i="7"/>
  <c r="C785" i="7"/>
  <c r="C784" i="7"/>
  <c r="C783" i="7"/>
  <c r="C782" i="7"/>
  <c r="C781" i="7"/>
  <c r="C780" i="7"/>
  <c r="C779" i="7"/>
  <c r="H775" i="7"/>
  <c r="B797" i="7" s="1"/>
  <c r="H774" i="7"/>
  <c r="C775" i="7"/>
  <c r="C774" i="7"/>
  <c r="B802" i="7"/>
  <c r="G787" i="7"/>
  <c r="F787" i="7"/>
  <c r="B787" i="7"/>
  <c r="A787" i="7"/>
  <c r="G786" i="7"/>
  <c r="F786" i="7"/>
  <c r="B786" i="7"/>
  <c r="A786" i="7"/>
  <c r="G785" i="7"/>
  <c r="F785" i="7"/>
  <c r="B785" i="7"/>
  <c r="A785" i="7"/>
  <c r="G784" i="7"/>
  <c r="F784" i="7"/>
  <c r="B784" i="7"/>
  <c r="A784" i="7"/>
  <c r="G783" i="7"/>
  <c r="F783" i="7"/>
  <c r="B783" i="7"/>
  <c r="A783" i="7"/>
  <c r="G782" i="7"/>
  <c r="F782" i="7"/>
  <c r="B782" i="7"/>
  <c r="A782" i="7"/>
  <c r="G781" i="7"/>
  <c r="F781" i="7"/>
  <c r="B781" i="7"/>
  <c r="A781" i="7"/>
  <c r="G780" i="7"/>
  <c r="F780" i="7"/>
  <c r="B780" i="7"/>
  <c r="A780" i="7"/>
  <c r="G779" i="7"/>
  <c r="F779" i="7"/>
  <c r="B779" i="7"/>
  <c r="A779" i="7"/>
  <c r="C776" i="7"/>
  <c r="E775" i="7"/>
  <c r="E797" i="7" s="1"/>
  <c r="A772" i="7"/>
  <c r="A771" i="7"/>
  <c r="F794" i="7" s="1"/>
  <c r="G763" i="7"/>
  <c r="I752" i="7"/>
  <c r="I751" i="7"/>
  <c r="I750" i="7"/>
  <c r="I749" i="7"/>
  <c r="I748" i="7"/>
  <c r="I747" i="7"/>
  <c r="I746" i="7"/>
  <c r="I745" i="7"/>
  <c r="C753" i="7"/>
  <c r="C752" i="7"/>
  <c r="C751" i="7"/>
  <c r="C750" i="7"/>
  <c r="C749" i="7"/>
  <c r="C748" i="7"/>
  <c r="C747" i="7"/>
  <c r="C746" i="7"/>
  <c r="C745" i="7"/>
  <c r="C744" i="7"/>
  <c r="H740" i="7"/>
  <c r="B762" i="7" s="1"/>
  <c r="H739" i="7"/>
  <c r="C740" i="7"/>
  <c r="C739" i="7"/>
  <c r="B767" i="7"/>
  <c r="G752" i="7"/>
  <c r="F752" i="7"/>
  <c r="B752" i="7"/>
  <c r="A752" i="7"/>
  <c r="G751" i="7"/>
  <c r="F751" i="7"/>
  <c r="B751" i="7"/>
  <c r="A751" i="7"/>
  <c r="G750" i="7"/>
  <c r="F750" i="7"/>
  <c r="B750" i="7"/>
  <c r="A750" i="7"/>
  <c r="G749" i="7"/>
  <c r="F749" i="7"/>
  <c r="B749" i="7"/>
  <c r="A749" i="7"/>
  <c r="G748" i="7"/>
  <c r="F748" i="7"/>
  <c r="B748" i="7"/>
  <c r="A748" i="7"/>
  <c r="G747" i="7"/>
  <c r="F747" i="7"/>
  <c r="B747" i="7"/>
  <c r="A747" i="7"/>
  <c r="G746" i="7"/>
  <c r="F746" i="7"/>
  <c r="B746" i="7"/>
  <c r="A746" i="7"/>
  <c r="G745" i="7"/>
  <c r="F745" i="7"/>
  <c r="B745" i="7"/>
  <c r="A745" i="7"/>
  <c r="G744" i="7"/>
  <c r="F744" i="7"/>
  <c r="B744" i="7"/>
  <c r="A744" i="7"/>
  <c r="C741" i="7"/>
  <c r="E740" i="7"/>
  <c r="E762" i="7" s="1"/>
  <c r="A737" i="7"/>
  <c r="A736" i="7"/>
  <c r="F759" i="7" s="1"/>
  <c r="G728" i="7"/>
  <c r="I717" i="7"/>
  <c r="I716" i="7"/>
  <c r="I715" i="7"/>
  <c r="I714" i="7"/>
  <c r="I713" i="7"/>
  <c r="I712" i="7"/>
  <c r="I711" i="7"/>
  <c r="I710" i="7"/>
  <c r="C718" i="7"/>
  <c r="C717" i="7"/>
  <c r="C716" i="7"/>
  <c r="C715" i="7"/>
  <c r="C714" i="7"/>
  <c r="C713" i="7"/>
  <c r="C712" i="7"/>
  <c r="C711" i="7"/>
  <c r="C710" i="7"/>
  <c r="C709" i="7"/>
  <c r="H705" i="7"/>
  <c r="B727" i="7" s="1"/>
  <c r="H704" i="7"/>
  <c r="C705" i="7"/>
  <c r="C704" i="7"/>
  <c r="B732" i="7"/>
  <c r="G717" i="7"/>
  <c r="F717" i="7"/>
  <c r="B717" i="7"/>
  <c r="A717" i="7"/>
  <c r="G716" i="7"/>
  <c r="F716" i="7"/>
  <c r="B716" i="7"/>
  <c r="A716" i="7"/>
  <c r="G715" i="7"/>
  <c r="F715" i="7"/>
  <c r="B715" i="7"/>
  <c r="A715" i="7"/>
  <c r="G714" i="7"/>
  <c r="F714" i="7"/>
  <c r="B714" i="7"/>
  <c r="A714" i="7"/>
  <c r="G713" i="7"/>
  <c r="F713" i="7"/>
  <c r="B713" i="7"/>
  <c r="A713" i="7"/>
  <c r="G712" i="7"/>
  <c r="F712" i="7"/>
  <c r="B712" i="7"/>
  <c r="A712" i="7"/>
  <c r="G711" i="7"/>
  <c r="F711" i="7"/>
  <c r="B711" i="7"/>
  <c r="A711" i="7"/>
  <c r="G710" i="7"/>
  <c r="F710" i="7"/>
  <c r="B710" i="7"/>
  <c r="A710" i="7"/>
  <c r="G709" i="7"/>
  <c r="F709" i="7"/>
  <c r="B709" i="7"/>
  <c r="A709" i="7"/>
  <c r="C706" i="7"/>
  <c r="E705" i="7"/>
  <c r="E727" i="7" s="1"/>
  <c r="A702" i="7"/>
  <c r="A701" i="7"/>
  <c r="F724" i="7" s="1"/>
  <c r="G693" i="7"/>
  <c r="I682" i="7"/>
  <c r="I681" i="7"/>
  <c r="I679" i="7"/>
  <c r="I680" i="7"/>
  <c r="I678" i="7"/>
  <c r="I677" i="7"/>
  <c r="I676" i="7"/>
  <c r="I675" i="7"/>
  <c r="C683" i="7"/>
  <c r="C682" i="7"/>
  <c r="C681" i="7"/>
  <c r="C680" i="7"/>
  <c r="C679" i="7"/>
  <c r="C678" i="7"/>
  <c r="C677" i="7"/>
  <c r="C676" i="7"/>
  <c r="C675" i="7"/>
  <c r="C674" i="7"/>
  <c r="H670" i="7"/>
  <c r="B692" i="7" s="1"/>
  <c r="H669" i="7"/>
  <c r="C670" i="7"/>
  <c r="C669" i="7"/>
  <c r="B697" i="7"/>
  <c r="G682" i="7"/>
  <c r="F682" i="7"/>
  <c r="B682" i="7"/>
  <c r="A682" i="7"/>
  <c r="G681" i="7"/>
  <c r="F681" i="7"/>
  <c r="B681" i="7"/>
  <c r="A681" i="7"/>
  <c r="G680" i="7"/>
  <c r="F680" i="7"/>
  <c r="B680" i="7"/>
  <c r="A680" i="7"/>
  <c r="G679" i="7"/>
  <c r="F679" i="7"/>
  <c r="B679" i="7"/>
  <c r="A679" i="7"/>
  <c r="G678" i="7"/>
  <c r="F678" i="7"/>
  <c r="B678" i="7"/>
  <c r="A678" i="7"/>
  <c r="G677" i="7"/>
  <c r="F677" i="7"/>
  <c r="B677" i="7"/>
  <c r="A677" i="7"/>
  <c r="G676" i="7"/>
  <c r="F676" i="7"/>
  <c r="B676" i="7"/>
  <c r="A676" i="7"/>
  <c r="G675" i="7"/>
  <c r="F675" i="7"/>
  <c r="B675" i="7"/>
  <c r="A675" i="7"/>
  <c r="G674" i="7"/>
  <c r="F674" i="7"/>
  <c r="B674" i="7"/>
  <c r="A674" i="7"/>
  <c r="C671" i="7"/>
  <c r="E670" i="7"/>
  <c r="E692" i="7" s="1"/>
  <c r="A667" i="7"/>
  <c r="A666" i="7"/>
  <c r="F689" i="7" s="1"/>
  <c r="G658" i="7"/>
  <c r="I647" i="7"/>
  <c r="I646" i="7"/>
  <c r="I645" i="7"/>
  <c r="I644" i="7"/>
  <c r="I643" i="7"/>
  <c r="I642" i="7"/>
  <c r="I641" i="7"/>
  <c r="I640" i="7"/>
  <c r="C648" i="7"/>
  <c r="C647" i="7"/>
  <c r="C646" i="7"/>
  <c r="C645" i="7"/>
  <c r="C644" i="7"/>
  <c r="C643" i="7"/>
  <c r="C642" i="7"/>
  <c r="C641" i="7"/>
  <c r="C640" i="7"/>
  <c r="C639" i="7"/>
  <c r="H635" i="7"/>
  <c r="B657" i="7" s="1"/>
  <c r="H634" i="7"/>
  <c r="C635" i="7"/>
  <c r="C634" i="7"/>
  <c r="B662" i="7"/>
  <c r="G647" i="7"/>
  <c r="F647" i="7"/>
  <c r="B647" i="7"/>
  <c r="A647" i="7"/>
  <c r="G646" i="7"/>
  <c r="F646" i="7"/>
  <c r="B646" i="7"/>
  <c r="A646" i="7"/>
  <c r="G645" i="7"/>
  <c r="F645" i="7"/>
  <c r="B645" i="7"/>
  <c r="A645" i="7"/>
  <c r="G644" i="7"/>
  <c r="F644" i="7"/>
  <c r="B644" i="7"/>
  <c r="A644" i="7"/>
  <c r="G643" i="7"/>
  <c r="F643" i="7"/>
  <c r="B643" i="7"/>
  <c r="A643" i="7"/>
  <c r="G642" i="7"/>
  <c r="F642" i="7"/>
  <c r="B642" i="7"/>
  <c r="A642" i="7"/>
  <c r="G641" i="7"/>
  <c r="F641" i="7"/>
  <c r="B641" i="7"/>
  <c r="A641" i="7"/>
  <c r="G640" i="7"/>
  <c r="F640" i="7"/>
  <c r="B640" i="7"/>
  <c r="A640" i="7"/>
  <c r="G639" i="7"/>
  <c r="F639" i="7"/>
  <c r="B639" i="7"/>
  <c r="A639" i="7"/>
  <c r="C636" i="7"/>
  <c r="E635" i="7"/>
  <c r="E657" i="7" s="1"/>
  <c r="A632" i="7"/>
  <c r="A631" i="7"/>
  <c r="F654" i="7" s="1"/>
  <c r="G623" i="7"/>
  <c r="I612" i="7"/>
  <c r="I611" i="7"/>
  <c r="I610" i="7"/>
  <c r="I609" i="7"/>
  <c r="I608" i="7"/>
  <c r="I607" i="7"/>
  <c r="I606" i="7"/>
  <c r="I605" i="7"/>
  <c r="C613" i="7"/>
  <c r="C612" i="7"/>
  <c r="C611" i="7"/>
  <c r="C610" i="7"/>
  <c r="C609" i="7"/>
  <c r="C608" i="7"/>
  <c r="C607" i="7"/>
  <c r="C606" i="7"/>
  <c r="C605" i="7"/>
  <c r="C604" i="7"/>
  <c r="H600" i="7"/>
  <c r="B622" i="7" s="1"/>
  <c r="H599" i="7"/>
  <c r="C600" i="7"/>
  <c r="C599" i="7"/>
  <c r="G588" i="7"/>
  <c r="B627" i="7"/>
  <c r="G612" i="7"/>
  <c r="F612" i="7"/>
  <c r="B612" i="7"/>
  <c r="A612" i="7"/>
  <c r="G611" i="7"/>
  <c r="F611" i="7"/>
  <c r="B611" i="7"/>
  <c r="A611" i="7"/>
  <c r="G610" i="7"/>
  <c r="F610" i="7"/>
  <c r="B610" i="7"/>
  <c r="A610" i="7"/>
  <c r="G609" i="7"/>
  <c r="F609" i="7"/>
  <c r="B609" i="7"/>
  <c r="A609" i="7"/>
  <c r="G608" i="7"/>
  <c r="F608" i="7"/>
  <c r="B608" i="7"/>
  <c r="A608" i="7"/>
  <c r="G607" i="7"/>
  <c r="F607" i="7"/>
  <c r="B607" i="7"/>
  <c r="A607" i="7"/>
  <c r="G606" i="7"/>
  <c r="F606" i="7"/>
  <c r="B606" i="7"/>
  <c r="A606" i="7"/>
  <c r="G605" i="7"/>
  <c r="F605" i="7"/>
  <c r="B605" i="7"/>
  <c r="A605" i="7"/>
  <c r="G604" i="7"/>
  <c r="F604" i="7"/>
  <c r="B604" i="7"/>
  <c r="A604" i="7"/>
  <c r="C601" i="7"/>
  <c r="E600" i="7"/>
  <c r="E622" i="7" s="1"/>
  <c r="A597" i="7"/>
  <c r="A596" i="7"/>
  <c r="F619" i="7" s="1"/>
  <c r="H564" i="7"/>
  <c r="I577" i="7"/>
  <c r="I576" i="7"/>
  <c r="I575" i="7"/>
  <c r="I574" i="7"/>
  <c r="I573" i="7"/>
  <c r="I572" i="7"/>
  <c r="I571" i="7"/>
  <c r="I570" i="7"/>
  <c r="C578" i="7"/>
  <c r="C577" i="7"/>
  <c r="C576" i="7"/>
  <c r="C575" i="7"/>
  <c r="C574" i="7"/>
  <c r="C573" i="7"/>
  <c r="C572" i="7"/>
  <c r="C571" i="7"/>
  <c r="C570" i="7"/>
  <c r="C569" i="7"/>
  <c r="H565" i="7"/>
  <c r="B587" i="7" s="1"/>
  <c r="C565" i="7"/>
  <c r="C564" i="7"/>
  <c r="B592" i="7"/>
  <c r="G577" i="7"/>
  <c r="F577" i="7"/>
  <c r="B577" i="7"/>
  <c r="A577" i="7"/>
  <c r="G576" i="7"/>
  <c r="F576" i="7"/>
  <c r="B576" i="7"/>
  <c r="A576" i="7"/>
  <c r="G575" i="7"/>
  <c r="F575" i="7"/>
  <c r="B575" i="7"/>
  <c r="A575" i="7"/>
  <c r="G574" i="7"/>
  <c r="F574" i="7"/>
  <c r="B574" i="7"/>
  <c r="D574" i="7" s="1"/>
  <c r="E574" i="7" s="1"/>
  <c r="A574" i="7"/>
  <c r="G573" i="7"/>
  <c r="F573" i="7"/>
  <c r="B573" i="7"/>
  <c r="A573" i="7"/>
  <c r="G572" i="7"/>
  <c r="F572" i="7"/>
  <c r="B572" i="7"/>
  <c r="A572" i="7"/>
  <c r="G571" i="7"/>
  <c r="F571" i="7"/>
  <c r="B571" i="7"/>
  <c r="A571" i="7"/>
  <c r="G570" i="7"/>
  <c r="F570" i="7"/>
  <c r="B570" i="7"/>
  <c r="A570" i="7"/>
  <c r="G569" i="7"/>
  <c r="F569" i="7"/>
  <c r="B569" i="7"/>
  <c r="A569" i="7"/>
  <c r="C566" i="7"/>
  <c r="E565" i="7"/>
  <c r="E587" i="7" s="1"/>
  <c r="A562" i="7"/>
  <c r="A561" i="7"/>
  <c r="F584" i="7" s="1"/>
  <c r="G553" i="7"/>
  <c r="I542" i="7"/>
  <c r="I541" i="7"/>
  <c r="I540" i="7"/>
  <c r="I539" i="7"/>
  <c r="I538" i="7"/>
  <c r="I537" i="7"/>
  <c r="I536" i="7"/>
  <c r="I535" i="7"/>
  <c r="C543" i="7"/>
  <c r="C542" i="7"/>
  <c r="C541" i="7"/>
  <c r="C540" i="7"/>
  <c r="C539" i="7"/>
  <c r="C538" i="7"/>
  <c r="C537" i="7"/>
  <c r="C536" i="7"/>
  <c r="C535" i="7"/>
  <c r="C534" i="7"/>
  <c r="H530" i="7"/>
  <c r="B552" i="7" s="1"/>
  <c r="H529" i="7"/>
  <c r="C530" i="7"/>
  <c r="C529" i="7"/>
  <c r="B557" i="7"/>
  <c r="G542" i="7"/>
  <c r="F542" i="7"/>
  <c r="B542" i="7"/>
  <c r="A542" i="7"/>
  <c r="G541" i="7"/>
  <c r="F541" i="7"/>
  <c r="B541" i="7"/>
  <c r="A541" i="7"/>
  <c r="G540" i="7"/>
  <c r="F540" i="7"/>
  <c r="B540" i="7"/>
  <c r="A540" i="7"/>
  <c r="G539" i="7"/>
  <c r="F539" i="7"/>
  <c r="B539" i="7"/>
  <c r="A539" i="7"/>
  <c r="G538" i="7"/>
  <c r="F538" i="7"/>
  <c r="B538" i="7"/>
  <c r="A538" i="7"/>
  <c r="G537" i="7"/>
  <c r="F537" i="7"/>
  <c r="B537" i="7"/>
  <c r="A537" i="7"/>
  <c r="G536" i="7"/>
  <c r="F536" i="7"/>
  <c r="B536" i="7"/>
  <c r="A536" i="7"/>
  <c r="G535" i="7"/>
  <c r="F535" i="7"/>
  <c r="B535" i="7"/>
  <c r="A535" i="7"/>
  <c r="G534" i="7"/>
  <c r="F534" i="7"/>
  <c r="B534" i="7"/>
  <c r="A534" i="7"/>
  <c r="C531" i="7"/>
  <c r="E530" i="7"/>
  <c r="E552" i="7" s="1"/>
  <c r="A527" i="7"/>
  <c r="A526" i="7"/>
  <c r="F549" i="7" s="1"/>
  <c r="I507" i="7"/>
  <c r="I506" i="7"/>
  <c r="I505" i="7"/>
  <c r="I504" i="7"/>
  <c r="I503" i="7"/>
  <c r="I502" i="7"/>
  <c r="I501" i="7"/>
  <c r="I500" i="7"/>
  <c r="C508" i="7"/>
  <c r="C507" i="7"/>
  <c r="C506" i="7"/>
  <c r="C505" i="7"/>
  <c r="C504" i="7"/>
  <c r="C503" i="7"/>
  <c r="C502" i="7"/>
  <c r="C501" i="7"/>
  <c r="C500" i="7"/>
  <c r="C499" i="7"/>
  <c r="G518" i="7"/>
  <c r="H495" i="7"/>
  <c r="B517" i="7" s="1"/>
  <c r="H494" i="7"/>
  <c r="C495" i="7"/>
  <c r="C494" i="7"/>
  <c r="B522" i="7"/>
  <c r="G507" i="7"/>
  <c r="F507" i="7"/>
  <c r="B507" i="7"/>
  <c r="A507" i="7"/>
  <c r="G506" i="7"/>
  <c r="F506" i="7"/>
  <c r="B506" i="7"/>
  <c r="A506" i="7"/>
  <c r="G505" i="7"/>
  <c r="F505" i="7"/>
  <c r="B505" i="7"/>
  <c r="A505" i="7"/>
  <c r="G504" i="7"/>
  <c r="F504" i="7"/>
  <c r="B504" i="7"/>
  <c r="A504" i="7"/>
  <c r="G503" i="7"/>
  <c r="F503" i="7"/>
  <c r="B503" i="7"/>
  <c r="A503" i="7"/>
  <c r="G502" i="7"/>
  <c r="F502" i="7"/>
  <c r="B502" i="7"/>
  <c r="A502" i="7"/>
  <c r="G501" i="7"/>
  <c r="F501" i="7"/>
  <c r="B501" i="7"/>
  <c r="A501" i="7"/>
  <c r="G500" i="7"/>
  <c r="F500" i="7"/>
  <c r="B500" i="7"/>
  <c r="A500" i="7"/>
  <c r="G499" i="7"/>
  <c r="F499" i="7"/>
  <c r="B499" i="7"/>
  <c r="A499" i="7"/>
  <c r="C496" i="7"/>
  <c r="E495" i="7"/>
  <c r="E517" i="7" s="1"/>
  <c r="A492" i="7"/>
  <c r="A491" i="7"/>
  <c r="F514" i="7" s="1"/>
  <c r="G483" i="7"/>
  <c r="I472" i="7"/>
  <c r="I471" i="7"/>
  <c r="I470" i="7"/>
  <c r="I469" i="7"/>
  <c r="I468" i="7"/>
  <c r="I467" i="7"/>
  <c r="I466" i="7"/>
  <c r="I465" i="7"/>
  <c r="C473" i="7"/>
  <c r="C472" i="7"/>
  <c r="C471" i="7"/>
  <c r="C470" i="7"/>
  <c r="C469" i="7"/>
  <c r="C468" i="7"/>
  <c r="C467" i="7"/>
  <c r="C466" i="7"/>
  <c r="C465" i="7"/>
  <c r="C464" i="7"/>
  <c r="H460" i="7"/>
  <c r="B482" i="7" s="1"/>
  <c r="H459" i="7"/>
  <c r="C460" i="7"/>
  <c r="C459" i="7"/>
  <c r="B487" i="7"/>
  <c r="G472" i="7"/>
  <c r="F472" i="7"/>
  <c r="B472" i="7"/>
  <c r="A472" i="7"/>
  <c r="G471" i="7"/>
  <c r="F471" i="7"/>
  <c r="B471" i="7"/>
  <c r="A471" i="7"/>
  <c r="G470" i="7"/>
  <c r="F470" i="7"/>
  <c r="B470" i="7"/>
  <c r="A470" i="7"/>
  <c r="G469" i="7"/>
  <c r="F469" i="7"/>
  <c r="B469" i="7"/>
  <c r="A469" i="7"/>
  <c r="G468" i="7"/>
  <c r="F468" i="7"/>
  <c r="B468" i="7"/>
  <c r="A468" i="7"/>
  <c r="G467" i="7"/>
  <c r="F467" i="7"/>
  <c r="B467" i="7"/>
  <c r="A467" i="7"/>
  <c r="G466" i="7"/>
  <c r="F466" i="7"/>
  <c r="B466" i="7"/>
  <c r="A466" i="7"/>
  <c r="G465" i="7"/>
  <c r="F465" i="7"/>
  <c r="B465" i="7"/>
  <c r="A465" i="7"/>
  <c r="G464" i="7"/>
  <c r="F464" i="7"/>
  <c r="B464" i="7"/>
  <c r="A464" i="7"/>
  <c r="C461" i="7"/>
  <c r="E460" i="7"/>
  <c r="E482" i="7" s="1"/>
  <c r="A457" i="7"/>
  <c r="A456" i="7"/>
  <c r="F479" i="7" s="1"/>
  <c r="G448" i="7"/>
  <c r="I437" i="7"/>
  <c r="I436" i="7"/>
  <c r="I435" i="7"/>
  <c r="I434" i="7"/>
  <c r="I433" i="7"/>
  <c r="I432" i="7"/>
  <c r="I431" i="7"/>
  <c r="I430" i="7"/>
  <c r="C438" i="7"/>
  <c r="C437" i="7"/>
  <c r="C436" i="7"/>
  <c r="C435" i="7"/>
  <c r="C434" i="7"/>
  <c r="C433" i="7"/>
  <c r="C432" i="7"/>
  <c r="C431" i="7"/>
  <c r="C430" i="7"/>
  <c r="C429" i="7"/>
  <c r="H425" i="7"/>
  <c r="B447" i="7" s="1"/>
  <c r="H424" i="7"/>
  <c r="C425" i="7"/>
  <c r="C424" i="7"/>
  <c r="B452" i="7"/>
  <c r="G437" i="7"/>
  <c r="F437" i="7"/>
  <c r="B437" i="7"/>
  <c r="A437" i="7"/>
  <c r="G436" i="7"/>
  <c r="F436" i="7"/>
  <c r="B436" i="7"/>
  <c r="A436" i="7"/>
  <c r="G435" i="7"/>
  <c r="F435" i="7"/>
  <c r="B435" i="7"/>
  <c r="A435" i="7"/>
  <c r="G434" i="7"/>
  <c r="F434" i="7"/>
  <c r="B434" i="7"/>
  <c r="A434" i="7"/>
  <c r="G433" i="7"/>
  <c r="F433" i="7"/>
  <c r="B433" i="7"/>
  <c r="A433" i="7"/>
  <c r="G432" i="7"/>
  <c r="F432" i="7"/>
  <c r="B432" i="7"/>
  <c r="A432" i="7"/>
  <c r="G431" i="7"/>
  <c r="F431" i="7"/>
  <c r="B431" i="7"/>
  <c r="A431" i="7"/>
  <c r="G430" i="7"/>
  <c r="F430" i="7"/>
  <c r="B430" i="7"/>
  <c r="A430" i="7"/>
  <c r="G429" i="7"/>
  <c r="F429" i="7"/>
  <c r="B429" i="7"/>
  <c r="A429" i="7"/>
  <c r="C426" i="7"/>
  <c r="E425" i="7"/>
  <c r="E447" i="7" s="1"/>
  <c r="A422" i="7"/>
  <c r="A421" i="7"/>
  <c r="F444" i="7" s="1"/>
  <c r="G28" i="7"/>
  <c r="A1" i="7"/>
  <c r="A386" i="7"/>
  <c r="F409" i="7" s="1"/>
  <c r="I402" i="7"/>
  <c r="I401" i="7"/>
  <c r="I400" i="7"/>
  <c r="I399" i="7"/>
  <c r="I398" i="7"/>
  <c r="I397" i="7"/>
  <c r="I396" i="7"/>
  <c r="I395" i="7"/>
  <c r="C403" i="7"/>
  <c r="C402" i="7"/>
  <c r="C401" i="7"/>
  <c r="C400" i="7"/>
  <c r="C399" i="7"/>
  <c r="C398" i="7"/>
  <c r="C397" i="7"/>
  <c r="C396" i="7"/>
  <c r="C395" i="7"/>
  <c r="C394" i="7"/>
  <c r="H390" i="7"/>
  <c r="B412" i="7" s="1"/>
  <c r="H389" i="7"/>
  <c r="C390" i="7"/>
  <c r="C389" i="7"/>
  <c r="B417" i="7"/>
  <c r="G402" i="7"/>
  <c r="F402" i="7"/>
  <c r="B402" i="7"/>
  <c r="A402" i="7"/>
  <c r="G401" i="7"/>
  <c r="F401" i="7"/>
  <c r="B401" i="7"/>
  <c r="A401" i="7"/>
  <c r="G400" i="7"/>
  <c r="F400" i="7"/>
  <c r="B400" i="7"/>
  <c r="A400" i="7"/>
  <c r="G399" i="7"/>
  <c r="F399" i="7"/>
  <c r="B399" i="7"/>
  <c r="A399" i="7"/>
  <c r="G398" i="7"/>
  <c r="F398" i="7"/>
  <c r="B398" i="7"/>
  <c r="A398" i="7"/>
  <c r="G397" i="7"/>
  <c r="F397" i="7"/>
  <c r="B397" i="7"/>
  <c r="A397" i="7"/>
  <c r="G396" i="7"/>
  <c r="F396" i="7"/>
  <c r="B396" i="7"/>
  <c r="A396" i="7"/>
  <c r="G395" i="7"/>
  <c r="F395" i="7"/>
  <c r="B395" i="7"/>
  <c r="A395" i="7"/>
  <c r="G394" i="7"/>
  <c r="F394" i="7"/>
  <c r="B394" i="7"/>
  <c r="A394" i="7"/>
  <c r="C391" i="7"/>
  <c r="E390" i="7"/>
  <c r="E412" i="7" s="1"/>
  <c r="A387" i="7"/>
  <c r="B382" i="7"/>
  <c r="G367" i="7"/>
  <c r="F367" i="7"/>
  <c r="B367" i="7"/>
  <c r="A367" i="7"/>
  <c r="G366" i="7"/>
  <c r="F366" i="7"/>
  <c r="B366" i="7"/>
  <c r="A366" i="7"/>
  <c r="G365" i="7"/>
  <c r="F365" i="7"/>
  <c r="B365" i="7"/>
  <c r="A365" i="7"/>
  <c r="G364" i="7"/>
  <c r="F364" i="7"/>
  <c r="B364" i="7"/>
  <c r="A364" i="7"/>
  <c r="G363" i="7"/>
  <c r="F363" i="7"/>
  <c r="B363" i="7"/>
  <c r="A363" i="7"/>
  <c r="G362" i="7"/>
  <c r="F362" i="7"/>
  <c r="B362" i="7"/>
  <c r="A362" i="7"/>
  <c r="G361" i="7"/>
  <c r="F361" i="7"/>
  <c r="B361" i="7"/>
  <c r="A361" i="7"/>
  <c r="G360" i="7"/>
  <c r="F360" i="7"/>
  <c r="B360" i="7"/>
  <c r="A360" i="7"/>
  <c r="G359" i="7"/>
  <c r="F359" i="7"/>
  <c r="B359" i="7"/>
  <c r="A359" i="7"/>
  <c r="B347" i="7"/>
  <c r="G332" i="7"/>
  <c r="F332" i="7"/>
  <c r="B332" i="7"/>
  <c r="A332" i="7"/>
  <c r="G331" i="7"/>
  <c r="F331" i="7"/>
  <c r="B331" i="7"/>
  <c r="A331" i="7"/>
  <c r="G330" i="7"/>
  <c r="F330" i="7"/>
  <c r="B330" i="7"/>
  <c r="A330" i="7"/>
  <c r="G329" i="7"/>
  <c r="F329" i="7"/>
  <c r="B329" i="7"/>
  <c r="A329" i="7"/>
  <c r="G328" i="7"/>
  <c r="F328" i="7"/>
  <c r="B328" i="7"/>
  <c r="A328" i="7"/>
  <c r="G327" i="7"/>
  <c r="F327" i="7"/>
  <c r="B327" i="7"/>
  <c r="A327" i="7"/>
  <c r="G326" i="7"/>
  <c r="F326" i="7"/>
  <c r="B326" i="7"/>
  <c r="A326" i="7"/>
  <c r="G325" i="7"/>
  <c r="F325" i="7"/>
  <c r="B325" i="7"/>
  <c r="A325" i="7"/>
  <c r="G324" i="7"/>
  <c r="F324" i="7"/>
  <c r="B324" i="7"/>
  <c r="A324" i="7"/>
  <c r="B312" i="7"/>
  <c r="G297" i="7"/>
  <c r="F297" i="7"/>
  <c r="B297" i="7"/>
  <c r="A297" i="7"/>
  <c r="G296" i="7"/>
  <c r="F296" i="7"/>
  <c r="B296" i="7"/>
  <c r="A296" i="7"/>
  <c r="G295" i="7"/>
  <c r="F295" i="7"/>
  <c r="B295" i="7"/>
  <c r="A295" i="7"/>
  <c r="G294" i="7"/>
  <c r="F294" i="7"/>
  <c r="B294" i="7"/>
  <c r="A294" i="7"/>
  <c r="G293" i="7"/>
  <c r="F293" i="7"/>
  <c r="B293" i="7"/>
  <c r="A293" i="7"/>
  <c r="G292" i="7"/>
  <c r="F292" i="7"/>
  <c r="B292" i="7"/>
  <c r="A292" i="7"/>
  <c r="G291" i="7"/>
  <c r="F291" i="7"/>
  <c r="B291" i="7"/>
  <c r="A291" i="7"/>
  <c r="G290" i="7"/>
  <c r="F290" i="7"/>
  <c r="B290" i="7"/>
  <c r="A290" i="7"/>
  <c r="G289" i="7"/>
  <c r="F289" i="7"/>
  <c r="B289" i="7"/>
  <c r="A289" i="7"/>
  <c r="B277" i="7"/>
  <c r="G262" i="7"/>
  <c r="F262" i="7"/>
  <c r="B262" i="7"/>
  <c r="A262" i="7"/>
  <c r="G261" i="7"/>
  <c r="F261" i="7"/>
  <c r="B261" i="7"/>
  <c r="A261" i="7"/>
  <c r="G260" i="7"/>
  <c r="F260" i="7"/>
  <c r="B260" i="7"/>
  <c r="A260" i="7"/>
  <c r="G259" i="7"/>
  <c r="F259" i="7"/>
  <c r="B259" i="7"/>
  <c r="A259" i="7"/>
  <c r="G258" i="7"/>
  <c r="F258" i="7"/>
  <c r="B258" i="7"/>
  <c r="A258" i="7"/>
  <c r="G257" i="7"/>
  <c r="F257" i="7"/>
  <c r="B257" i="7"/>
  <c r="A257" i="7"/>
  <c r="G256" i="7"/>
  <c r="F256" i="7"/>
  <c r="B256" i="7"/>
  <c r="A256" i="7"/>
  <c r="G255" i="7"/>
  <c r="F255" i="7"/>
  <c r="B255" i="7"/>
  <c r="A255" i="7"/>
  <c r="G254" i="7"/>
  <c r="F254" i="7"/>
  <c r="B254" i="7"/>
  <c r="A254" i="7"/>
  <c r="B242" i="7"/>
  <c r="G227" i="7"/>
  <c r="F227" i="7"/>
  <c r="B227" i="7"/>
  <c r="A227" i="7"/>
  <c r="G226" i="7"/>
  <c r="F226" i="7"/>
  <c r="B226" i="7"/>
  <c r="A226" i="7"/>
  <c r="G225" i="7"/>
  <c r="F225" i="7"/>
  <c r="B225" i="7"/>
  <c r="A225" i="7"/>
  <c r="G224" i="7"/>
  <c r="F224" i="7"/>
  <c r="B224" i="7"/>
  <c r="A224" i="7"/>
  <c r="G223" i="7"/>
  <c r="F223" i="7"/>
  <c r="B223" i="7"/>
  <c r="A223" i="7"/>
  <c r="G222" i="7"/>
  <c r="F222" i="7"/>
  <c r="B222" i="7"/>
  <c r="A222" i="7"/>
  <c r="G221" i="7"/>
  <c r="F221" i="7"/>
  <c r="B221" i="7"/>
  <c r="A221" i="7"/>
  <c r="G220" i="7"/>
  <c r="F220" i="7"/>
  <c r="B220" i="7"/>
  <c r="A220" i="7"/>
  <c r="G219" i="7"/>
  <c r="F219" i="7"/>
  <c r="B219" i="7"/>
  <c r="A219" i="7"/>
  <c r="B207" i="7"/>
  <c r="G192" i="7"/>
  <c r="F192" i="7"/>
  <c r="B192" i="7"/>
  <c r="A192" i="7"/>
  <c r="G191" i="7"/>
  <c r="F191" i="7"/>
  <c r="B191" i="7"/>
  <c r="A191" i="7"/>
  <c r="G190" i="7"/>
  <c r="F190" i="7"/>
  <c r="B190" i="7"/>
  <c r="A190" i="7"/>
  <c r="G189" i="7"/>
  <c r="F189" i="7"/>
  <c r="B189" i="7"/>
  <c r="A189" i="7"/>
  <c r="G188" i="7"/>
  <c r="F188" i="7"/>
  <c r="B188" i="7"/>
  <c r="A188" i="7"/>
  <c r="G187" i="7"/>
  <c r="F187" i="7"/>
  <c r="B187" i="7"/>
  <c r="A187" i="7"/>
  <c r="G186" i="7"/>
  <c r="F186" i="7"/>
  <c r="B186" i="7"/>
  <c r="A186" i="7"/>
  <c r="G185" i="7"/>
  <c r="F185" i="7"/>
  <c r="B185" i="7"/>
  <c r="A185" i="7"/>
  <c r="G184" i="7"/>
  <c r="F184" i="7"/>
  <c r="B184" i="7"/>
  <c r="A184" i="7"/>
  <c r="B172" i="7"/>
  <c r="G157" i="7"/>
  <c r="F157" i="7"/>
  <c r="B157" i="7"/>
  <c r="A157" i="7"/>
  <c r="G156" i="7"/>
  <c r="F156" i="7"/>
  <c r="B156" i="7"/>
  <c r="A156" i="7"/>
  <c r="G155" i="7"/>
  <c r="F155" i="7"/>
  <c r="B155" i="7"/>
  <c r="A155" i="7"/>
  <c r="G154" i="7"/>
  <c r="F154" i="7"/>
  <c r="B154" i="7"/>
  <c r="A154" i="7"/>
  <c r="G153" i="7"/>
  <c r="F153" i="7"/>
  <c r="B153" i="7"/>
  <c r="A153" i="7"/>
  <c r="G152" i="7"/>
  <c r="F152" i="7"/>
  <c r="B152" i="7"/>
  <c r="A152" i="7"/>
  <c r="G151" i="7"/>
  <c r="F151" i="7"/>
  <c r="B151" i="7"/>
  <c r="A151" i="7"/>
  <c r="G150" i="7"/>
  <c r="F150" i="7"/>
  <c r="B150" i="7"/>
  <c r="A150" i="7"/>
  <c r="G149" i="7"/>
  <c r="F149" i="7"/>
  <c r="B149" i="7"/>
  <c r="A149" i="7"/>
  <c r="B137" i="7"/>
  <c r="G122" i="7"/>
  <c r="F122" i="7"/>
  <c r="B122" i="7"/>
  <c r="A122" i="7"/>
  <c r="G121" i="7"/>
  <c r="F121" i="7"/>
  <c r="B121" i="7"/>
  <c r="A121" i="7"/>
  <c r="G120" i="7"/>
  <c r="F120" i="7"/>
  <c r="B120" i="7"/>
  <c r="A120" i="7"/>
  <c r="G119" i="7"/>
  <c r="F119" i="7"/>
  <c r="B119" i="7"/>
  <c r="A119" i="7"/>
  <c r="G118" i="7"/>
  <c r="F118" i="7"/>
  <c r="B118" i="7"/>
  <c r="A118" i="7"/>
  <c r="G117" i="7"/>
  <c r="F117" i="7"/>
  <c r="B117" i="7"/>
  <c r="A117" i="7"/>
  <c r="G116" i="7"/>
  <c r="F116" i="7"/>
  <c r="B116" i="7"/>
  <c r="A116" i="7"/>
  <c r="G115" i="7"/>
  <c r="F115" i="7"/>
  <c r="B115" i="7"/>
  <c r="A115" i="7"/>
  <c r="G114" i="7"/>
  <c r="F114" i="7"/>
  <c r="B114" i="7"/>
  <c r="A114" i="7"/>
  <c r="B102" i="7"/>
  <c r="G87" i="7"/>
  <c r="F87" i="7"/>
  <c r="B87" i="7"/>
  <c r="A87" i="7"/>
  <c r="G86" i="7"/>
  <c r="F86" i="7"/>
  <c r="B86" i="7"/>
  <c r="A86" i="7"/>
  <c r="G85" i="7"/>
  <c r="F85" i="7"/>
  <c r="B85" i="7"/>
  <c r="A85" i="7"/>
  <c r="G84" i="7"/>
  <c r="F84" i="7"/>
  <c r="B84" i="7"/>
  <c r="A84" i="7"/>
  <c r="G83" i="7"/>
  <c r="F83" i="7"/>
  <c r="B83" i="7"/>
  <c r="A83" i="7"/>
  <c r="G82" i="7"/>
  <c r="F82" i="7"/>
  <c r="B82" i="7"/>
  <c r="A82" i="7"/>
  <c r="G81" i="7"/>
  <c r="F81" i="7"/>
  <c r="B81" i="7"/>
  <c r="A81" i="7"/>
  <c r="G80" i="7"/>
  <c r="F80" i="7"/>
  <c r="B80" i="7"/>
  <c r="A80" i="7"/>
  <c r="G79" i="7"/>
  <c r="F79" i="7"/>
  <c r="B79" i="7"/>
  <c r="A79" i="7"/>
  <c r="B67" i="7"/>
  <c r="G52" i="7"/>
  <c r="F52" i="7"/>
  <c r="B52" i="7"/>
  <c r="A52" i="7"/>
  <c r="G51" i="7"/>
  <c r="F51" i="7"/>
  <c r="B51" i="7"/>
  <c r="A51" i="7"/>
  <c r="G50" i="7"/>
  <c r="F50" i="7"/>
  <c r="B50" i="7"/>
  <c r="A50" i="7"/>
  <c r="G49" i="7"/>
  <c r="F49" i="7"/>
  <c r="B49" i="7"/>
  <c r="A49" i="7"/>
  <c r="G48" i="7"/>
  <c r="F48" i="7"/>
  <c r="B48" i="7"/>
  <c r="A48" i="7"/>
  <c r="G47" i="7"/>
  <c r="F47" i="7"/>
  <c r="B47" i="7"/>
  <c r="A47" i="7"/>
  <c r="G46" i="7"/>
  <c r="F46" i="7"/>
  <c r="B46" i="7"/>
  <c r="A46" i="7"/>
  <c r="G45" i="7"/>
  <c r="F45" i="7"/>
  <c r="B45" i="7"/>
  <c r="A45" i="7"/>
  <c r="G44" i="7"/>
  <c r="F44" i="7"/>
  <c r="B44" i="7"/>
  <c r="A44" i="7"/>
  <c r="B17" i="7"/>
  <c r="B16" i="7"/>
  <c r="B15" i="7"/>
  <c r="B14" i="7"/>
  <c r="B13" i="7"/>
  <c r="G17" i="7"/>
  <c r="G16" i="7"/>
  <c r="G15" i="7"/>
  <c r="G14" i="7"/>
  <c r="G13" i="7"/>
  <c r="G12" i="7"/>
  <c r="G11" i="7"/>
  <c r="G10" i="7"/>
  <c r="G9" i="7"/>
  <c r="B32" i="7"/>
  <c r="D1025" i="7" l="1"/>
  <c r="E1025" i="7" s="1"/>
  <c r="D1024" i="7"/>
  <c r="E1024" i="7" s="1"/>
  <c r="D1027" i="7"/>
  <c r="E1027" i="7" s="1"/>
  <c r="D1100" i="7"/>
  <c r="E1100" i="7" s="1"/>
  <c r="D570" i="7"/>
  <c r="E570" i="7" s="1"/>
  <c r="D1065" i="7"/>
  <c r="E1065" i="7" s="1"/>
  <c r="D1132" i="7"/>
  <c r="E1132" i="7" s="1"/>
  <c r="D1129" i="7"/>
  <c r="E1129" i="7" s="1"/>
  <c r="D1134" i="7"/>
  <c r="E1134" i="7" s="1"/>
  <c r="D1062" i="7"/>
  <c r="E1062" i="7" s="1"/>
  <c r="D994" i="7"/>
  <c r="E994" i="7" s="1"/>
  <c r="D989" i="7"/>
  <c r="E989" i="7" s="1"/>
  <c r="D992" i="7"/>
  <c r="E992" i="7" s="1"/>
  <c r="D993" i="7"/>
  <c r="E993" i="7" s="1"/>
  <c r="D926" i="7"/>
  <c r="E926" i="7" s="1"/>
  <c r="D962" i="7"/>
  <c r="E962" i="7" s="1"/>
  <c r="D919" i="7"/>
  <c r="E919" i="7" s="1"/>
  <c r="D959" i="7"/>
  <c r="E959" i="7" s="1"/>
  <c r="D995" i="7"/>
  <c r="E995" i="7" s="1"/>
  <c r="D957" i="7"/>
  <c r="E957" i="7" s="1"/>
  <c r="D961" i="7"/>
  <c r="E961" i="7" s="1"/>
  <c r="D923" i="7"/>
  <c r="E923" i="7" s="1"/>
  <c r="D852" i="7"/>
  <c r="E852" i="7" s="1"/>
  <c r="D927" i="7"/>
  <c r="E927" i="7" s="1"/>
  <c r="D956" i="7"/>
  <c r="E956" i="7" s="1"/>
  <c r="D958" i="7"/>
  <c r="E958" i="7" s="1"/>
  <c r="D990" i="7"/>
  <c r="E990" i="7" s="1"/>
  <c r="D819" i="7"/>
  <c r="E819" i="7" s="1"/>
  <c r="D851" i="7"/>
  <c r="E851" i="7" s="1"/>
  <c r="D887" i="7"/>
  <c r="E887" i="7" s="1"/>
  <c r="D924" i="7"/>
  <c r="E924" i="7" s="1"/>
  <c r="D821" i="7"/>
  <c r="E821" i="7" s="1"/>
  <c r="D854" i="7"/>
  <c r="E854" i="7" s="1"/>
  <c r="D921" i="7"/>
  <c r="E921" i="7" s="1"/>
  <c r="D954" i="7"/>
  <c r="E954" i="7" s="1"/>
  <c r="D925" i="7"/>
  <c r="E925" i="7" s="1"/>
  <c r="D922" i="7"/>
  <c r="E922" i="7" s="1"/>
  <c r="D997" i="7"/>
  <c r="E997" i="7" s="1"/>
  <c r="D955" i="7"/>
  <c r="E955" i="7" s="1"/>
  <c r="D991" i="7"/>
  <c r="E991" i="7" s="1"/>
  <c r="D996" i="7"/>
  <c r="E996" i="7" s="1"/>
  <c r="D920" i="7"/>
  <c r="E920" i="7" s="1"/>
  <c r="D960" i="7"/>
  <c r="E960" i="7" s="1"/>
  <c r="D786" i="7"/>
  <c r="E786" i="7" s="1"/>
  <c r="D781" i="7"/>
  <c r="E781" i="7" s="1"/>
  <c r="D785" i="7"/>
  <c r="E785" i="7" s="1"/>
  <c r="D784" i="7"/>
  <c r="E784" i="7" s="1"/>
  <c r="D891" i="7"/>
  <c r="E891" i="7" s="1"/>
  <c r="D747" i="7"/>
  <c r="E747" i="7" s="1"/>
  <c r="D751" i="7"/>
  <c r="E751" i="7" s="1"/>
  <c r="D779" i="7"/>
  <c r="E779" i="7" s="1"/>
  <c r="D814" i="7"/>
  <c r="E814" i="7" s="1"/>
  <c r="D818" i="7"/>
  <c r="E818" i="7" s="1"/>
  <c r="D856" i="7"/>
  <c r="E856" i="7" s="1"/>
  <c r="D853" i="7"/>
  <c r="E853" i="7" s="1"/>
  <c r="D783" i="7"/>
  <c r="E783" i="7" s="1"/>
  <c r="D787" i="7"/>
  <c r="E787" i="7" s="1"/>
  <c r="D889" i="7"/>
  <c r="E889" i="7" s="1"/>
  <c r="D849" i="7"/>
  <c r="E849" i="7" s="1"/>
  <c r="D815" i="7"/>
  <c r="E815" i="7" s="1"/>
  <c r="D857" i="7"/>
  <c r="E857" i="7" s="1"/>
  <c r="D888" i="7"/>
  <c r="E888" i="7" s="1"/>
  <c r="D750" i="7"/>
  <c r="E750" i="7" s="1"/>
  <c r="D745" i="7"/>
  <c r="E745" i="7" s="1"/>
  <c r="D816" i="7"/>
  <c r="E816" i="7" s="1"/>
  <c r="D820" i="7"/>
  <c r="E820" i="7" s="1"/>
  <c r="D886" i="7"/>
  <c r="E886" i="7" s="1"/>
  <c r="D890" i="7"/>
  <c r="E890" i="7" s="1"/>
  <c r="D744" i="7"/>
  <c r="E744" i="7" s="1"/>
  <c r="D780" i="7"/>
  <c r="E780" i="7" s="1"/>
  <c r="D892" i="7"/>
  <c r="E892" i="7" s="1"/>
  <c r="D748" i="7"/>
  <c r="E748" i="7" s="1"/>
  <c r="D817" i="7"/>
  <c r="E817" i="7" s="1"/>
  <c r="D850" i="7"/>
  <c r="E850" i="7" s="1"/>
  <c r="D885" i="7"/>
  <c r="E885" i="7" s="1"/>
  <c r="D715" i="7"/>
  <c r="E715" i="7" s="1"/>
  <c r="D752" i="7"/>
  <c r="E752" i="7" s="1"/>
  <c r="D782" i="7"/>
  <c r="E782" i="7" s="1"/>
  <c r="D822" i="7"/>
  <c r="E822" i="7" s="1"/>
  <c r="D855" i="7"/>
  <c r="E855" i="7" s="1"/>
  <c r="D884" i="7"/>
  <c r="E884" i="7" s="1"/>
  <c r="D644" i="7"/>
  <c r="E644" i="7" s="1"/>
  <c r="D749" i="7"/>
  <c r="E749" i="7" s="1"/>
  <c r="D746" i="7"/>
  <c r="E746" i="7" s="1"/>
  <c r="D710" i="7"/>
  <c r="E710" i="7" s="1"/>
  <c r="D714" i="7"/>
  <c r="E714" i="7" s="1"/>
  <c r="D709" i="7"/>
  <c r="E709" i="7" s="1"/>
  <c r="D713" i="7"/>
  <c r="E713" i="7" s="1"/>
  <c r="D717" i="7"/>
  <c r="E717" i="7" s="1"/>
  <c r="D712" i="7"/>
  <c r="E712" i="7" s="1"/>
  <c r="D647" i="7"/>
  <c r="E647" i="7" s="1"/>
  <c r="D679" i="7"/>
  <c r="E679" i="7" s="1"/>
  <c r="D678" i="7"/>
  <c r="E678" i="7" s="1"/>
  <c r="D677" i="7"/>
  <c r="E677" i="7" s="1"/>
  <c r="D681" i="7"/>
  <c r="E681" i="7" s="1"/>
  <c r="D642" i="7"/>
  <c r="E642" i="7" s="1"/>
  <c r="D645" i="7"/>
  <c r="E645" i="7" s="1"/>
  <c r="D643" i="7"/>
  <c r="E643" i="7" s="1"/>
  <c r="D640" i="7"/>
  <c r="E640" i="7" s="1"/>
  <c r="D607" i="7"/>
  <c r="E607" i="7" s="1"/>
  <c r="D609" i="7"/>
  <c r="E609" i="7" s="1"/>
  <c r="D639" i="7"/>
  <c r="E639" i="7" s="1"/>
  <c r="D674" i="7"/>
  <c r="E674" i="7" s="1"/>
  <c r="D682" i="7"/>
  <c r="E682" i="7" s="1"/>
  <c r="D506" i="7"/>
  <c r="E506" i="7" s="1"/>
  <c r="D646" i="7"/>
  <c r="E646" i="7" s="1"/>
  <c r="D675" i="7"/>
  <c r="E675" i="7" s="1"/>
  <c r="D716" i="7"/>
  <c r="E716" i="7" s="1"/>
  <c r="D537" i="7"/>
  <c r="E537" i="7" s="1"/>
  <c r="D541" i="7"/>
  <c r="E541" i="7" s="1"/>
  <c r="D569" i="7"/>
  <c r="D605" i="7"/>
  <c r="E605" i="7" s="1"/>
  <c r="D676" i="7"/>
  <c r="E676" i="7" s="1"/>
  <c r="D680" i="7"/>
  <c r="E680" i="7" s="1"/>
  <c r="D711" i="7"/>
  <c r="E711" i="7" s="1"/>
  <c r="D641" i="7"/>
  <c r="E641" i="7" s="1"/>
  <c r="D576" i="7"/>
  <c r="E576" i="7" s="1"/>
  <c r="D503" i="7"/>
  <c r="E503" i="7" s="1"/>
  <c r="D507" i="7"/>
  <c r="E507" i="7" s="1"/>
  <c r="D571" i="7"/>
  <c r="E571" i="7" s="1"/>
  <c r="D535" i="7"/>
  <c r="E535" i="7" s="1"/>
  <c r="D539" i="7"/>
  <c r="E539" i="7" s="1"/>
  <c r="D612" i="7"/>
  <c r="E612" i="7" s="1"/>
  <c r="D572" i="7"/>
  <c r="E572" i="7" s="1"/>
  <c r="D610" i="7"/>
  <c r="E610" i="7" s="1"/>
  <c r="D500" i="7"/>
  <c r="E500" i="7" s="1"/>
  <c r="D534" i="7"/>
  <c r="D538" i="7"/>
  <c r="E538" i="7" s="1"/>
  <c r="D542" i="7"/>
  <c r="E542" i="7" s="1"/>
  <c r="D575" i="7"/>
  <c r="E575" i="7" s="1"/>
  <c r="D604" i="7"/>
  <c r="E604" i="7" s="1"/>
  <c r="D611" i="7"/>
  <c r="E611" i="7" s="1"/>
  <c r="D606" i="7"/>
  <c r="E606" i="7" s="1"/>
  <c r="D505" i="7"/>
  <c r="E505" i="7" s="1"/>
  <c r="D573" i="7"/>
  <c r="E573" i="7" s="1"/>
  <c r="D577" i="7"/>
  <c r="E577" i="7" s="1"/>
  <c r="D608" i="7"/>
  <c r="E608" i="7" s="1"/>
  <c r="D540" i="7"/>
  <c r="E540" i="7" s="1"/>
  <c r="D504" i="7"/>
  <c r="E504" i="7" s="1"/>
  <c r="D501" i="7"/>
  <c r="E501" i="7" s="1"/>
  <c r="D502" i="7"/>
  <c r="E502" i="7" s="1"/>
  <c r="D499" i="7"/>
  <c r="E499" i="7" s="1"/>
  <c r="D536" i="7"/>
  <c r="E536" i="7" s="1"/>
  <c r="D467" i="7"/>
  <c r="E467" i="7" s="1"/>
  <c r="D466" i="7"/>
  <c r="E466" i="7" s="1"/>
  <c r="D470" i="7"/>
  <c r="E470" i="7" s="1"/>
  <c r="D435" i="7"/>
  <c r="E435" i="7" s="1"/>
  <c r="D394" i="7"/>
  <c r="E394" i="7" s="1"/>
  <c r="D471" i="7"/>
  <c r="E471" i="7" s="1"/>
  <c r="D430" i="7"/>
  <c r="E430" i="7" s="1"/>
  <c r="D469" i="7"/>
  <c r="E469" i="7" s="1"/>
  <c r="D436" i="7"/>
  <c r="E436" i="7" s="1"/>
  <c r="D429" i="7"/>
  <c r="E429" i="7" s="1"/>
  <c r="D465" i="7"/>
  <c r="E465" i="7" s="1"/>
  <c r="D434" i="7"/>
  <c r="E434" i="7" s="1"/>
  <c r="D433" i="7"/>
  <c r="E433" i="7" s="1"/>
  <c r="D437" i="7"/>
  <c r="E437" i="7" s="1"/>
  <c r="D432" i="7"/>
  <c r="E432" i="7" s="1"/>
  <c r="D397" i="7"/>
  <c r="E397" i="7" s="1"/>
  <c r="D464" i="7"/>
  <c r="E464" i="7" s="1"/>
  <c r="D468" i="7"/>
  <c r="E468" i="7" s="1"/>
  <c r="D472" i="7"/>
  <c r="E472" i="7" s="1"/>
  <c r="D431" i="7"/>
  <c r="E431" i="7" s="1"/>
  <c r="D396" i="7"/>
  <c r="E396" i="7" s="1"/>
  <c r="D400" i="7"/>
  <c r="E400" i="7" s="1"/>
  <c r="D395" i="7"/>
  <c r="E395" i="7" s="1"/>
  <c r="D399" i="7"/>
  <c r="E399" i="7" s="1"/>
  <c r="D401" i="7"/>
  <c r="E401" i="7" s="1"/>
  <c r="D402" i="7"/>
  <c r="E402" i="7" s="1"/>
  <c r="D398" i="7"/>
  <c r="E398" i="7" s="1"/>
  <c r="F17" i="7"/>
  <c r="F16" i="7"/>
  <c r="F15" i="7"/>
  <c r="F14" i="7"/>
  <c r="F13" i="7"/>
  <c r="F12" i="7"/>
  <c r="F11" i="7"/>
  <c r="F10" i="7"/>
  <c r="F9" i="7"/>
  <c r="A17" i="7"/>
  <c r="A16" i="7"/>
  <c r="A15" i="7"/>
  <c r="A14" i="7"/>
  <c r="A13" i="7"/>
  <c r="A12" i="7"/>
  <c r="A11" i="7"/>
  <c r="A10" i="7"/>
  <c r="A9" i="7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7" i="8"/>
  <c r="D6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7" i="8"/>
  <c r="B6" i="8"/>
  <c r="A10" i="8"/>
  <c r="A14" i="8"/>
  <c r="A18" i="8"/>
  <c r="A22" i="8"/>
  <c r="A26" i="8"/>
  <c r="A30" i="8"/>
  <c r="A34" i="8"/>
  <c r="A38" i="8"/>
  <c r="E34" i="3"/>
  <c r="E22" i="3"/>
  <c r="E11" i="3"/>
  <c r="D10" i="3"/>
  <c r="D19" i="3"/>
  <c r="D30" i="3"/>
  <c r="C18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B30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T40" i="2"/>
  <c r="T39" i="2"/>
  <c r="H5" i="4"/>
  <c r="H6" i="4"/>
  <c r="H7" i="4"/>
  <c r="H7" i="2" s="1"/>
  <c r="H8" i="4"/>
  <c r="H8" i="2" s="1"/>
  <c r="H9" i="4"/>
  <c r="H10" i="4"/>
  <c r="H11" i="4"/>
  <c r="H11" i="2" s="1"/>
  <c r="H12" i="4"/>
  <c r="H12" i="2" s="1"/>
  <c r="H13" i="4"/>
  <c r="H14" i="4"/>
  <c r="H15" i="4"/>
  <c r="H15" i="2" s="1"/>
  <c r="H16" i="4"/>
  <c r="H16" i="2" s="1"/>
  <c r="H17" i="4"/>
  <c r="H18" i="4"/>
  <c r="H19" i="4"/>
  <c r="H19" i="2" s="1"/>
  <c r="H20" i="4"/>
  <c r="H20" i="2" s="1"/>
  <c r="H21" i="4"/>
  <c r="H22" i="4"/>
  <c r="H23" i="4"/>
  <c r="H23" i="2" s="1"/>
  <c r="H24" i="4"/>
  <c r="H24" i="2" s="1"/>
  <c r="H25" i="4"/>
  <c r="H26" i="4"/>
  <c r="H27" i="4"/>
  <c r="H27" i="2" s="1"/>
  <c r="H28" i="4"/>
  <c r="H28" i="2" s="1"/>
  <c r="H29" i="4"/>
  <c r="H30" i="4"/>
  <c r="H31" i="4"/>
  <c r="H31" i="2" s="1"/>
  <c r="H32" i="4"/>
  <c r="H32" i="2" s="1"/>
  <c r="H33" i="4"/>
  <c r="H34" i="4"/>
  <c r="H35" i="4"/>
  <c r="H35" i="2" s="1"/>
  <c r="H36" i="4"/>
  <c r="H36" i="2" s="1"/>
  <c r="H4" i="4"/>
  <c r="H3" i="4"/>
  <c r="F5" i="4"/>
  <c r="F6" i="4"/>
  <c r="F6" i="2" s="1"/>
  <c r="H109" i="7" s="1"/>
  <c r="F7" i="4"/>
  <c r="F8" i="4"/>
  <c r="F8" i="2" s="1"/>
  <c r="H179" i="7" s="1"/>
  <c r="F9" i="4"/>
  <c r="F9" i="2" s="1"/>
  <c r="H214" i="7" s="1"/>
  <c r="F10" i="4"/>
  <c r="F10" i="2" s="1"/>
  <c r="H249" i="7" s="1"/>
  <c r="F11" i="4"/>
  <c r="F12" i="4"/>
  <c r="F12" i="2" s="1"/>
  <c r="H319" i="7" s="1"/>
  <c r="F13" i="4"/>
  <c r="F14" i="4"/>
  <c r="F14" i="2" s="1"/>
  <c r="F15" i="4"/>
  <c r="F16" i="4"/>
  <c r="F16" i="2" s="1"/>
  <c r="F17" i="4"/>
  <c r="F18" i="4"/>
  <c r="F19" i="4"/>
  <c r="F20" i="4"/>
  <c r="F20" i="2" s="1"/>
  <c r="F21" i="4"/>
  <c r="F22" i="4"/>
  <c r="F22" i="2" s="1"/>
  <c r="F23" i="4"/>
  <c r="F24" i="4"/>
  <c r="F24" i="2" s="1"/>
  <c r="F25" i="4"/>
  <c r="F25" i="2" s="1"/>
  <c r="F26" i="4"/>
  <c r="F27" i="4"/>
  <c r="F28" i="4"/>
  <c r="F28" i="2" s="1"/>
  <c r="F29" i="4"/>
  <c r="F30" i="4"/>
  <c r="F30" i="2" s="1"/>
  <c r="F31" i="4"/>
  <c r="F32" i="4"/>
  <c r="F32" i="2" s="1"/>
  <c r="F33" i="4"/>
  <c r="F34" i="4"/>
  <c r="F34" i="2" s="1"/>
  <c r="F35" i="4"/>
  <c r="F36" i="4"/>
  <c r="F36" i="2" s="1"/>
  <c r="F4" i="4"/>
  <c r="F3" i="4"/>
  <c r="F3" i="2" s="1"/>
  <c r="H4" i="7" s="1"/>
  <c r="E5" i="4"/>
  <c r="E6" i="3" s="1"/>
  <c r="E6" i="4"/>
  <c r="E6" i="2" s="1"/>
  <c r="C109" i="7" s="1"/>
  <c r="E7" i="4"/>
  <c r="E8" i="3" s="1"/>
  <c r="E8" i="4"/>
  <c r="E9" i="3" s="1"/>
  <c r="E9" i="4"/>
  <c r="E10" i="3" s="1"/>
  <c r="E10" i="4"/>
  <c r="E10" i="2" s="1"/>
  <c r="C249" i="7" s="1"/>
  <c r="E11" i="4"/>
  <c r="E12" i="3" s="1"/>
  <c r="E12" i="4"/>
  <c r="E13" i="3" s="1"/>
  <c r="E13" i="4"/>
  <c r="E14" i="3" s="1"/>
  <c r="E14" i="4"/>
  <c r="E14" i="2" s="1"/>
  <c r="E15" i="4"/>
  <c r="E16" i="3" s="1"/>
  <c r="E16" i="4"/>
  <c r="E17" i="3" s="1"/>
  <c r="E17" i="4"/>
  <c r="E18" i="3" s="1"/>
  <c r="E18" i="4"/>
  <c r="E18" i="2" s="1"/>
  <c r="E19" i="4"/>
  <c r="E20" i="3" s="1"/>
  <c r="E20" i="4"/>
  <c r="E21" i="3" s="1"/>
  <c r="E21" i="4"/>
  <c r="E22" i="4"/>
  <c r="E22" i="2" s="1"/>
  <c r="E23" i="4"/>
  <c r="E24" i="3" s="1"/>
  <c r="E24" i="4"/>
  <c r="E25" i="3" s="1"/>
  <c r="E25" i="4"/>
  <c r="E26" i="3" s="1"/>
  <c r="E26" i="4"/>
  <c r="E26" i="2" s="1"/>
  <c r="E27" i="4"/>
  <c r="E28" i="3" s="1"/>
  <c r="E28" i="4"/>
  <c r="E29" i="3" s="1"/>
  <c r="E29" i="4"/>
  <c r="E30" i="3" s="1"/>
  <c r="E30" i="4"/>
  <c r="E30" i="2" s="1"/>
  <c r="E31" i="4"/>
  <c r="E32" i="3" s="1"/>
  <c r="E32" i="4"/>
  <c r="E33" i="3" s="1"/>
  <c r="E33" i="4"/>
  <c r="E34" i="4"/>
  <c r="E34" i="2" s="1"/>
  <c r="E35" i="4"/>
  <c r="E36" i="3" s="1"/>
  <c r="E36" i="4"/>
  <c r="E37" i="3" s="1"/>
  <c r="E4" i="4"/>
  <c r="E5" i="3" s="1"/>
  <c r="E3" i="4"/>
  <c r="D5" i="4"/>
  <c r="B6" i="3" s="1"/>
  <c r="D6" i="4"/>
  <c r="C6" i="2" s="1"/>
  <c r="C110" i="7" s="1"/>
  <c r="D7" i="4"/>
  <c r="B8" i="3" s="1"/>
  <c r="D8" i="4"/>
  <c r="D9" i="4"/>
  <c r="B10" i="3" s="1"/>
  <c r="D10" i="4"/>
  <c r="B11" i="3" s="1"/>
  <c r="D11" i="4"/>
  <c r="B12" i="3" s="1"/>
  <c r="D12" i="4"/>
  <c r="D13" i="4"/>
  <c r="B14" i="3" s="1"/>
  <c r="D14" i="4"/>
  <c r="B15" i="3" s="1"/>
  <c r="D15" i="4"/>
  <c r="B16" i="3" s="1"/>
  <c r="D16" i="4"/>
  <c r="D17" i="4"/>
  <c r="C17" i="2" s="1"/>
  <c r="D18" i="4"/>
  <c r="B19" i="3" s="1"/>
  <c r="D19" i="4"/>
  <c r="B20" i="3" s="1"/>
  <c r="D20" i="4"/>
  <c r="D21" i="4"/>
  <c r="B22" i="3" s="1"/>
  <c r="D22" i="4"/>
  <c r="C22" i="2" s="1"/>
  <c r="D23" i="4"/>
  <c r="B24" i="3" s="1"/>
  <c r="D24" i="4"/>
  <c r="D25" i="4"/>
  <c r="B26" i="3" s="1"/>
  <c r="D26" i="4"/>
  <c r="C26" i="2" s="1"/>
  <c r="D27" i="4"/>
  <c r="B28" i="3" s="1"/>
  <c r="D28" i="4"/>
  <c r="D29" i="4"/>
  <c r="D30" i="4"/>
  <c r="B31" i="3" s="1"/>
  <c r="D31" i="4"/>
  <c r="B32" i="3" s="1"/>
  <c r="D32" i="4"/>
  <c r="D33" i="4"/>
  <c r="C33" i="2" s="1"/>
  <c r="D34" i="4"/>
  <c r="C34" i="2" s="1"/>
  <c r="D35" i="4"/>
  <c r="B36" i="3" s="1"/>
  <c r="D36" i="4"/>
  <c r="D4" i="4"/>
  <c r="B5" i="3" s="1"/>
  <c r="D3" i="4"/>
  <c r="C5" i="4"/>
  <c r="D6" i="3" s="1"/>
  <c r="C6" i="4"/>
  <c r="D7" i="3" s="1"/>
  <c r="C7" i="4"/>
  <c r="D8" i="3" s="1"/>
  <c r="C8" i="4"/>
  <c r="C9" i="4"/>
  <c r="C10" i="4"/>
  <c r="D11" i="3" s="1"/>
  <c r="C11" i="4"/>
  <c r="D12" i="3" s="1"/>
  <c r="C12" i="4"/>
  <c r="C13" i="4"/>
  <c r="D14" i="3" s="1"/>
  <c r="C14" i="4"/>
  <c r="D15" i="3" s="1"/>
  <c r="C15" i="4"/>
  <c r="D16" i="3" s="1"/>
  <c r="C16" i="4"/>
  <c r="C17" i="4"/>
  <c r="D18" i="3" s="1"/>
  <c r="C18" i="4"/>
  <c r="C19" i="4"/>
  <c r="D20" i="3" s="1"/>
  <c r="C20" i="4"/>
  <c r="C21" i="4"/>
  <c r="D22" i="3" s="1"/>
  <c r="C22" i="4"/>
  <c r="D23" i="3" s="1"/>
  <c r="C23" i="4"/>
  <c r="D24" i="3" s="1"/>
  <c r="C24" i="4"/>
  <c r="C25" i="4"/>
  <c r="D26" i="3" s="1"/>
  <c r="C26" i="4"/>
  <c r="D27" i="3" s="1"/>
  <c r="C27" i="4"/>
  <c r="D28" i="3" s="1"/>
  <c r="C28" i="4"/>
  <c r="C29" i="4"/>
  <c r="C30" i="4"/>
  <c r="D31" i="3" s="1"/>
  <c r="C31" i="4"/>
  <c r="D32" i="3" s="1"/>
  <c r="C32" i="4"/>
  <c r="C33" i="4"/>
  <c r="D34" i="3" s="1"/>
  <c r="C34" i="4"/>
  <c r="D35" i="3" s="1"/>
  <c r="C35" i="4"/>
  <c r="D36" i="3" s="1"/>
  <c r="C36" i="4"/>
  <c r="C4" i="4"/>
  <c r="D5" i="3" s="1"/>
  <c r="C3" i="4"/>
  <c r="D4" i="3" s="1"/>
  <c r="B5" i="4"/>
  <c r="C6" i="3" s="1"/>
  <c r="B6" i="4"/>
  <c r="C7" i="3" s="1"/>
  <c r="B7" i="4"/>
  <c r="C8" i="3" s="1"/>
  <c r="B8" i="4"/>
  <c r="B9" i="4"/>
  <c r="B9" i="2" s="1"/>
  <c r="B10" i="4"/>
  <c r="C11" i="3" s="1"/>
  <c r="B11" i="4"/>
  <c r="C12" i="3" s="1"/>
  <c r="B12" i="4"/>
  <c r="B13" i="4"/>
  <c r="C14" i="3" s="1"/>
  <c r="B14" i="4"/>
  <c r="B14" i="2" s="1"/>
  <c r="B15" i="4"/>
  <c r="C16" i="3" s="1"/>
  <c r="B16" i="4"/>
  <c r="B17" i="4"/>
  <c r="B18" i="4"/>
  <c r="C19" i="3" s="1"/>
  <c r="B19" i="4"/>
  <c r="C20" i="3" s="1"/>
  <c r="B20" i="4"/>
  <c r="B21" i="4"/>
  <c r="C22" i="3" s="1"/>
  <c r="B22" i="4"/>
  <c r="C23" i="3" s="1"/>
  <c r="B23" i="4"/>
  <c r="C24" i="3" s="1"/>
  <c r="B24" i="4"/>
  <c r="B25" i="4"/>
  <c r="B25" i="2" s="1"/>
  <c r="B26" i="4"/>
  <c r="C27" i="3" s="1"/>
  <c r="B27" i="4"/>
  <c r="C28" i="3" s="1"/>
  <c r="B28" i="4"/>
  <c r="B29" i="4"/>
  <c r="C30" i="3" s="1"/>
  <c r="B30" i="4"/>
  <c r="B30" i="2" s="1"/>
  <c r="B31" i="4"/>
  <c r="C32" i="3" s="1"/>
  <c r="B32" i="4"/>
  <c r="B33" i="4"/>
  <c r="C34" i="3" s="1"/>
  <c r="B34" i="4"/>
  <c r="C35" i="3" s="1"/>
  <c r="B35" i="4"/>
  <c r="C36" i="3" s="1"/>
  <c r="B36" i="4"/>
  <c r="B4" i="4"/>
  <c r="C5" i="3" s="1"/>
  <c r="B3" i="4"/>
  <c r="C4" i="3" s="1"/>
  <c r="B11" i="7"/>
  <c r="P3" i="3"/>
  <c r="B12" i="7"/>
  <c r="B10" i="7"/>
  <c r="B9" i="7"/>
  <c r="R5" i="2"/>
  <c r="C86" i="7" s="1"/>
  <c r="D86" i="7" s="1"/>
  <c r="E86" i="7" s="1"/>
  <c r="R6" i="2"/>
  <c r="C121" i="7" s="1"/>
  <c r="D121" i="7" s="1"/>
  <c r="E121" i="7" s="1"/>
  <c r="R7" i="2"/>
  <c r="C156" i="7" s="1"/>
  <c r="D156" i="7" s="1"/>
  <c r="E156" i="7" s="1"/>
  <c r="R8" i="2"/>
  <c r="C191" i="7" s="1"/>
  <c r="D191" i="7" s="1"/>
  <c r="E191" i="7" s="1"/>
  <c r="R9" i="2"/>
  <c r="C226" i="7" s="1"/>
  <c r="D226" i="7" s="1"/>
  <c r="E226" i="7" s="1"/>
  <c r="R10" i="2"/>
  <c r="C261" i="7" s="1"/>
  <c r="D261" i="7" s="1"/>
  <c r="E261" i="7" s="1"/>
  <c r="R11" i="2"/>
  <c r="C296" i="7" s="1"/>
  <c r="D296" i="7" s="1"/>
  <c r="E296" i="7" s="1"/>
  <c r="R12" i="2"/>
  <c r="C331" i="7" s="1"/>
  <c r="D331" i="7" s="1"/>
  <c r="E331" i="7" s="1"/>
  <c r="R13" i="2"/>
  <c r="C366" i="7" s="1"/>
  <c r="D366" i="7" s="1"/>
  <c r="E366" i="7" s="1"/>
  <c r="R14" i="2"/>
  <c r="R15" i="2"/>
  <c r="R16" i="2"/>
  <c r="R17" i="2"/>
  <c r="R18" i="2"/>
  <c r="R19" i="2"/>
  <c r="R20" i="2"/>
  <c r="R21" i="2"/>
  <c r="R22" i="2"/>
  <c r="R23" i="2"/>
  <c r="AC25" i="2" s="1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4" i="2"/>
  <c r="C51" i="7" s="1"/>
  <c r="D51" i="7" s="1"/>
  <c r="E51" i="7" s="1"/>
  <c r="R3" i="2"/>
  <c r="U5" i="2"/>
  <c r="C88" i="7" s="1"/>
  <c r="U9" i="2"/>
  <c r="C228" i="7" s="1"/>
  <c r="U13" i="2"/>
  <c r="C368" i="7" s="1"/>
  <c r="U17" i="2"/>
  <c r="U21" i="2"/>
  <c r="U25" i="2"/>
  <c r="U29" i="2"/>
  <c r="U4" i="2"/>
  <c r="C53" i="7" s="1"/>
  <c r="S5" i="2"/>
  <c r="C87" i="7" s="1"/>
  <c r="D87" i="7" s="1"/>
  <c r="E87" i="7" s="1"/>
  <c r="S6" i="2"/>
  <c r="C122" i="7" s="1"/>
  <c r="D122" i="7" s="1"/>
  <c r="E122" i="7" s="1"/>
  <c r="S7" i="2"/>
  <c r="C157" i="7" s="1"/>
  <c r="D157" i="7" s="1"/>
  <c r="E157" i="7" s="1"/>
  <c r="S8" i="2"/>
  <c r="C192" i="7" s="1"/>
  <c r="D192" i="7" s="1"/>
  <c r="E192" i="7" s="1"/>
  <c r="S9" i="2"/>
  <c r="C227" i="7" s="1"/>
  <c r="D227" i="7" s="1"/>
  <c r="E227" i="7" s="1"/>
  <c r="S10" i="2"/>
  <c r="C262" i="7" s="1"/>
  <c r="D262" i="7" s="1"/>
  <c r="E262" i="7" s="1"/>
  <c r="S11" i="2"/>
  <c r="C297" i="7" s="1"/>
  <c r="D297" i="7" s="1"/>
  <c r="E297" i="7" s="1"/>
  <c r="S12" i="2"/>
  <c r="C332" i="7" s="1"/>
  <c r="D332" i="7" s="1"/>
  <c r="E332" i="7" s="1"/>
  <c r="S13" i="2"/>
  <c r="C367" i="7" s="1"/>
  <c r="D367" i="7" s="1"/>
  <c r="E367" i="7" s="1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4" i="2"/>
  <c r="C52" i="7" s="1"/>
  <c r="D52" i="7" s="1"/>
  <c r="E52" i="7" s="1"/>
  <c r="S3" i="2"/>
  <c r="C17" i="7" s="1"/>
  <c r="Q5" i="2"/>
  <c r="C85" i="7" s="1"/>
  <c r="D85" i="7" s="1"/>
  <c r="E85" i="7" s="1"/>
  <c r="Q6" i="2"/>
  <c r="C120" i="7" s="1"/>
  <c r="D120" i="7" s="1"/>
  <c r="E120" i="7" s="1"/>
  <c r="Q7" i="2"/>
  <c r="C155" i="7" s="1"/>
  <c r="D155" i="7" s="1"/>
  <c r="E155" i="7" s="1"/>
  <c r="Q8" i="2"/>
  <c r="C190" i="7" s="1"/>
  <c r="D190" i="7" s="1"/>
  <c r="E190" i="7" s="1"/>
  <c r="Q9" i="2"/>
  <c r="C225" i="7" s="1"/>
  <c r="D225" i="7" s="1"/>
  <c r="E225" i="7" s="1"/>
  <c r="Q10" i="2"/>
  <c r="C260" i="7" s="1"/>
  <c r="D260" i="7" s="1"/>
  <c r="E260" i="7" s="1"/>
  <c r="Q11" i="2"/>
  <c r="C295" i="7" s="1"/>
  <c r="D295" i="7" s="1"/>
  <c r="E295" i="7" s="1"/>
  <c r="Q12" i="2"/>
  <c r="C330" i="7" s="1"/>
  <c r="D330" i="7" s="1"/>
  <c r="E330" i="7" s="1"/>
  <c r="Q13" i="2"/>
  <c r="C365" i="7" s="1"/>
  <c r="D365" i="7" s="1"/>
  <c r="E365" i="7" s="1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4" i="2"/>
  <c r="C50" i="7" s="1"/>
  <c r="D50" i="7" s="1"/>
  <c r="E50" i="7" s="1"/>
  <c r="Q3" i="2"/>
  <c r="C15" i="7" s="1"/>
  <c r="P5" i="2"/>
  <c r="C84" i="7" s="1"/>
  <c r="D84" i="7" s="1"/>
  <c r="E84" i="7" s="1"/>
  <c r="P6" i="2"/>
  <c r="C119" i="7" s="1"/>
  <c r="D119" i="7" s="1"/>
  <c r="E119" i="7" s="1"/>
  <c r="P7" i="2"/>
  <c r="C154" i="7" s="1"/>
  <c r="D154" i="7" s="1"/>
  <c r="E154" i="7" s="1"/>
  <c r="P8" i="2"/>
  <c r="C189" i="7" s="1"/>
  <c r="D189" i="7" s="1"/>
  <c r="E189" i="7" s="1"/>
  <c r="P9" i="2"/>
  <c r="C224" i="7" s="1"/>
  <c r="D224" i="7" s="1"/>
  <c r="E224" i="7" s="1"/>
  <c r="P10" i="2"/>
  <c r="C259" i="7" s="1"/>
  <c r="D259" i="7" s="1"/>
  <c r="E259" i="7" s="1"/>
  <c r="P11" i="2"/>
  <c r="C294" i="7" s="1"/>
  <c r="D294" i="7" s="1"/>
  <c r="E294" i="7" s="1"/>
  <c r="P12" i="2"/>
  <c r="C329" i="7" s="1"/>
  <c r="D329" i="7" s="1"/>
  <c r="E329" i="7" s="1"/>
  <c r="P13" i="2"/>
  <c r="C364" i="7" s="1"/>
  <c r="D364" i="7" s="1"/>
  <c r="E364" i="7" s="1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4" i="2"/>
  <c r="C49" i="7" s="1"/>
  <c r="D49" i="7" s="1"/>
  <c r="E49" i="7" s="1"/>
  <c r="P3" i="2"/>
  <c r="C14" i="7" s="1"/>
  <c r="O5" i="2"/>
  <c r="C83" i="7" s="1"/>
  <c r="D83" i="7" s="1"/>
  <c r="E83" i="7" s="1"/>
  <c r="O6" i="2"/>
  <c r="C118" i="7" s="1"/>
  <c r="D118" i="7" s="1"/>
  <c r="E118" i="7" s="1"/>
  <c r="O7" i="2"/>
  <c r="C153" i="7" s="1"/>
  <c r="D153" i="7" s="1"/>
  <c r="E153" i="7" s="1"/>
  <c r="O8" i="2"/>
  <c r="C188" i="7" s="1"/>
  <c r="D188" i="7" s="1"/>
  <c r="E188" i="7" s="1"/>
  <c r="O9" i="2"/>
  <c r="C223" i="7" s="1"/>
  <c r="D223" i="7" s="1"/>
  <c r="E223" i="7" s="1"/>
  <c r="O10" i="2"/>
  <c r="C258" i="7" s="1"/>
  <c r="D258" i="7" s="1"/>
  <c r="E258" i="7" s="1"/>
  <c r="O11" i="2"/>
  <c r="C293" i="7" s="1"/>
  <c r="D293" i="7" s="1"/>
  <c r="E293" i="7" s="1"/>
  <c r="O12" i="2"/>
  <c r="C328" i="7" s="1"/>
  <c r="D328" i="7" s="1"/>
  <c r="E328" i="7" s="1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4" i="2"/>
  <c r="C48" i="7" s="1"/>
  <c r="D48" i="7" s="1"/>
  <c r="E48" i="7" s="1"/>
  <c r="O3" i="2"/>
  <c r="C13" i="7" s="1"/>
  <c r="N5" i="2"/>
  <c r="C82" i="7" s="1"/>
  <c r="D82" i="7" s="1"/>
  <c r="E82" i="7" s="1"/>
  <c r="N6" i="2"/>
  <c r="C117" i="7" s="1"/>
  <c r="D117" i="7" s="1"/>
  <c r="E117" i="7" s="1"/>
  <c r="N7" i="2"/>
  <c r="C152" i="7" s="1"/>
  <c r="D152" i="7" s="1"/>
  <c r="E152" i="7" s="1"/>
  <c r="N8" i="2"/>
  <c r="C187" i="7" s="1"/>
  <c r="D187" i="7" s="1"/>
  <c r="E187" i="7" s="1"/>
  <c r="N9" i="2"/>
  <c r="C222" i="7" s="1"/>
  <c r="D222" i="7" s="1"/>
  <c r="E222" i="7" s="1"/>
  <c r="N10" i="2"/>
  <c r="C257" i="7" s="1"/>
  <c r="D257" i="7" s="1"/>
  <c r="E257" i="7" s="1"/>
  <c r="N11" i="2"/>
  <c r="C292" i="7" s="1"/>
  <c r="D292" i="7" s="1"/>
  <c r="E292" i="7" s="1"/>
  <c r="N12" i="2"/>
  <c r="C327" i="7" s="1"/>
  <c r="D327" i="7" s="1"/>
  <c r="E327" i="7" s="1"/>
  <c r="N13" i="2"/>
  <c r="C362" i="7" s="1"/>
  <c r="D362" i="7" s="1"/>
  <c r="E362" i="7" s="1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4" i="2"/>
  <c r="C47" i="7" s="1"/>
  <c r="D47" i="7" s="1"/>
  <c r="E47" i="7" s="1"/>
  <c r="N3" i="2"/>
  <c r="C12" i="7" s="1"/>
  <c r="M5" i="2"/>
  <c r="M6" i="2"/>
  <c r="M7" i="2"/>
  <c r="C151" i="7" s="1"/>
  <c r="D151" i="7" s="1"/>
  <c r="E151" i="7" s="1"/>
  <c r="M8" i="2"/>
  <c r="C186" i="7" s="1"/>
  <c r="D186" i="7" s="1"/>
  <c r="E186" i="7" s="1"/>
  <c r="M9" i="2"/>
  <c r="C221" i="7" s="1"/>
  <c r="D221" i="7" s="1"/>
  <c r="E221" i="7" s="1"/>
  <c r="M10" i="2"/>
  <c r="C256" i="7" s="1"/>
  <c r="D256" i="7" s="1"/>
  <c r="E256" i="7" s="1"/>
  <c r="M11" i="2"/>
  <c r="C291" i="7" s="1"/>
  <c r="D291" i="7" s="1"/>
  <c r="E291" i="7" s="1"/>
  <c r="M12" i="2"/>
  <c r="C326" i="7" s="1"/>
  <c r="D326" i="7" s="1"/>
  <c r="E326" i="7" s="1"/>
  <c r="M13" i="2"/>
  <c r="C361" i="7" s="1"/>
  <c r="D361" i="7" s="1"/>
  <c r="E361" i="7" s="1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4" i="2"/>
  <c r="C46" i="7" s="1"/>
  <c r="D46" i="7" s="1"/>
  <c r="E46" i="7" s="1"/>
  <c r="M3" i="2"/>
  <c r="C11" i="7" s="1"/>
  <c r="L5" i="2"/>
  <c r="C80" i="7" s="1"/>
  <c r="D80" i="7" s="1"/>
  <c r="E80" i="7" s="1"/>
  <c r="L6" i="2"/>
  <c r="C115" i="7" s="1"/>
  <c r="D115" i="7" s="1"/>
  <c r="E115" i="7" s="1"/>
  <c r="L7" i="2"/>
  <c r="L8" i="2"/>
  <c r="C185" i="7" s="1"/>
  <c r="D185" i="7" s="1"/>
  <c r="E185" i="7" s="1"/>
  <c r="L9" i="2"/>
  <c r="C220" i="7" s="1"/>
  <c r="D220" i="7" s="1"/>
  <c r="E220" i="7" s="1"/>
  <c r="L10" i="2"/>
  <c r="C255" i="7" s="1"/>
  <c r="D255" i="7" s="1"/>
  <c r="E255" i="7" s="1"/>
  <c r="L11" i="2"/>
  <c r="L12" i="2"/>
  <c r="C325" i="7" s="1"/>
  <c r="D325" i="7" s="1"/>
  <c r="E325" i="7" s="1"/>
  <c r="L13" i="2"/>
  <c r="C360" i="7" s="1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4" i="2"/>
  <c r="C45" i="7" s="1"/>
  <c r="D45" i="7" s="1"/>
  <c r="E45" i="7" s="1"/>
  <c r="L3" i="2"/>
  <c r="K5" i="2"/>
  <c r="C79" i="7" s="1"/>
  <c r="D79" i="7" s="1"/>
  <c r="E79" i="7" s="1"/>
  <c r="K6" i="2"/>
  <c r="K7" i="2"/>
  <c r="C149" i="7" s="1"/>
  <c r="D149" i="7" s="1"/>
  <c r="E149" i="7" s="1"/>
  <c r="K8" i="2"/>
  <c r="C184" i="7" s="1"/>
  <c r="D184" i="7" s="1"/>
  <c r="E184" i="7" s="1"/>
  <c r="K9" i="2"/>
  <c r="C219" i="7" s="1"/>
  <c r="D219" i="7" s="1"/>
  <c r="E219" i="7" s="1"/>
  <c r="K10" i="2"/>
  <c r="C254" i="7" s="1"/>
  <c r="D254" i="7" s="1"/>
  <c r="E254" i="7" s="1"/>
  <c r="K11" i="2"/>
  <c r="K12" i="2"/>
  <c r="C324" i="7" s="1"/>
  <c r="D324" i="7" s="1"/>
  <c r="E324" i="7" s="1"/>
  <c r="K13" i="2"/>
  <c r="C359" i="7" s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C1059" i="7" s="1"/>
  <c r="D1059" i="7" s="1"/>
  <c r="E1059" i="7" s="1"/>
  <c r="K34" i="2"/>
  <c r="K35" i="2"/>
  <c r="K36" i="2"/>
  <c r="K4" i="2"/>
  <c r="C44" i="7" s="1"/>
  <c r="D44" i="7" s="1"/>
  <c r="E44" i="7" s="1"/>
  <c r="K3" i="2"/>
  <c r="J39" i="2"/>
  <c r="J40" i="2"/>
  <c r="J41" i="2"/>
  <c r="J3" i="2"/>
  <c r="I11" i="2"/>
  <c r="I23" i="2"/>
  <c r="I33" i="2"/>
  <c r="H4" i="2"/>
  <c r="H5" i="2"/>
  <c r="H6" i="2"/>
  <c r="H9" i="2"/>
  <c r="H10" i="2"/>
  <c r="H13" i="2"/>
  <c r="H14" i="2"/>
  <c r="H17" i="2"/>
  <c r="H18" i="2"/>
  <c r="H21" i="2"/>
  <c r="H22" i="2"/>
  <c r="H25" i="2"/>
  <c r="H26" i="2"/>
  <c r="H29" i="2"/>
  <c r="H30" i="2"/>
  <c r="H33" i="2"/>
  <c r="H34" i="2"/>
  <c r="H3" i="2"/>
  <c r="G17" i="2"/>
  <c r="G35" i="2"/>
  <c r="F5" i="2"/>
  <c r="H74" i="7" s="1"/>
  <c r="F7" i="2"/>
  <c r="H144" i="7" s="1"/>
  <c r="F11" i="2"/>
  <c r="H284" i="7" s="1"/>
  <c r="F13" i="2"/>
  <c r="H354" i="7" s="1"/>
  <c r="F15" i="2"/>
  <c r="F17" i="2"/>
  <c r="F18" i="2"/>
  <c r="F19" i="2"/>
  <c r="F21" i="2"/>
  <c r="F23" i="2"/>
  <c r="F26" i="2"/>
  <c r="F27" i="2"/>
  <c r="F29" i="2"/>
  <c r="F31" i="2"/>
  <c r="F33" i="2"/>
  <c r="F35" i="2"/>
  <c r="F4" i="2"/>
  <c r="H39" i="7" s="1"/>
  <c r="E5" i="2"/>
  <c r="C74" i="7" s="1"/>
  <c r="E7" i="2"/>
  <c r="C144" i="7" s="1"/>
  <c r="E9" i="2"/>
  <c r="C214" i="7" s="1"/>
  <c r="E11" i="2"/>
  <c r="C284" i="7" s="1"/>
  <c r="E13" i="2"/>
  <c r="C354" i="7" s="1"/>
  <c r="E15" i="2"/>
  <c r="E17" i="2"/>
  <c r="E19" i="2"/>
  <c r="E21" i="2"/>
  <c r="E23" i="2"/>
  <c r="E24" i="2"/>
  <c r="E25" i="2"/>
  <c r="E27" i="2"/>
  <c r="E29" i="2"/>
  <c r="E31" i="2"/>
  <c r="E33" i="2"/>
  <c r="E35" i="2"/>
  <c r="E4" i="2"/>
  <c r="C39" i="7" s="1"/>
  <c r="D5" i="2"/>
  <c r="H75" i="7" s="1"/>
  <c r="B97" i="7" s="1"/>
  <c r="D6" i="2"/>
  <c r="H110" i="7" s="1"/>
  <c r="B132" i="7" s="1"/>
  <c r="D7" i="2"/>
  <c r="H145" i="7" s="1"/>
  <c r="B167" i="7" s="1"/>
  <c r="D9" i="2"/>
  <c r="H215" i="7" s="1"/>
  <c r="B237" i="7" s="1"/>
  <c r="D10" i="2"/>
  <c r="H250" i="7" s="1"/>
  <c r="B272" i="7" s="1"/>
  <c r="D11" i="2"/>
  <c r="H285" i="7" s="1"/>
  <c r="B307" i="7" s="1"/>
  <c r="D13" i="2"/>
  <c r="H355" i="7" s="1"/>
  <c r="B377" i="7" s="1"/>
  <c r="D14" i="2"/>
  <c r="D15" i="2"/>
  <c r="D17" i="2"/>
  <c r="D18" i="2"/>
  <c r="D19" i="2"/>
  <c r="D21" i="2"/>
  <c r="D22" i="2"/>
  <c r="D23" i="2"/>
  <c r="D25" i="2"/>
  <c r="D26" i="2"/>
  <c r="D27" i="2"/>
  <c r="D29" i="2"/>
  <c r="D30" i="2"/>
  <c r="D31" i="2"/>
  <c r="D33" i="2"/>
  <c r="D34" i="2"/>
  <c r="D35" i="2"/>
  <c r="D4" i="2"/>
  <c r="H40" i="7" s="1"/>
  <c r="B62" i="7" s="1"/>
  <c r="D3" i="2"/>
  <c r="H5" i="7" s="1"/>
  <c r="C5" i="2"/>
  <c r="C75" i="7" s="1"/>
  <c r="C7" i="2"/>
  <c r="C145" i="7" s="1"/>
  <c r="C9" i="2"/>
  <c r="C215" i="7" s="1"/>
  <c r="C11" i="2"/>
  <c r="C285" i="7" s="1"/>
  <c r="C13" i="2"/>
  <c r="C355" i="7" s="1"/>
  <c r="C15" i="2"/>
  <c r="C19" i="2"/>
  <c r="C21" i="2"/>
  <c r="C23" i="2"/>
  <c r="C25" i="2"/>
  <c r="C27" i="2"/>
  <c r="C29" i="2"/>
  <c r="C31" i="2"/>
  <c r="C35" i="2"/>
  <c r="C4" i="2"/>
  <c r="C40" i="7" s="1"/>
  <c r="B5" i="2"/>
  <c r="B7" i="2"/>
  <c r="B11" i="2"/>
  <c r="B13" i="2"/>
  <c r="B15" i="2"/>
  <c r="B17" i="2"/>
  <c r="B19" i="2"/>
  <c r="B21" i="2"/>
  <c r="B23" i="2"/>
  <c r="B27" i="2"/>
  <c r="B29" i="2"/>
  <c r="B31" i="2"/>
  <c r="B33" i="2"/>
  <c r="B34" i="2"/>
  <c r="B35" i="2"/>
  <c r="B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5" i="2"/>
  <c r="A6" i="2"/>
  <c r="A7" i="2"/>
  <c r="A8" i="2"/>
  <c r="A9" i="2"/>
  <c r="A10" i="2"/>
  <c r="A11" i="2"/>
  <c r="A12" i="2"/>
  <c r="A13" i="2"/>
  <c r="A14" i="2"/>
  <c r="A4" i="2"/>
  <c r="A3" i="2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7" i="8"/>
  <c r="C8" i="8"/>
  <c r="C6" i="8"/>
  <c r="G4" i="4"/>
  <c r="G4" i="2" s="1"/>
  <c r="G5" i="4"/>
  <c r="G5" i="2" s="1"/>
  <c r="G6" i="4"/>
  <c r="G6" i="2" s="1"/>
  <c r="G7" i="4"/>
  <c r="G7" i="2" s="1"/>
  <c r="G8" i="4"/>
  <c r="G8" i="2" s="1"/>
  <c r="G9" i="4"/>
  <c r="G9" i="2" s="1"/>
  <c r="G10" i="4"/>
  <c r="G10" i="2" s="1"/>
  <c r="G11" i="4"/>
  <c r="G11" i="2" s="1"/>
  <c r="G12" i="4"/>
  <c r="G12" i="2" s="1"/>
  <c r="G13" i="4"/>
  <c r="G13" i="2" s="1"/>
  <c r="G14" i="4"/>
  <c r="G14" i="2" s="1"/>
  <c r="G15" i="4"/>
  <c r="G15" i="2" s="1"/>
  <c r="G16" i="4"/>
  <c r="G16" i="2" s="1"/>
  <c r="G17" i="4"/>
  <c r="G18" i="4"/>
  <c r="G18" i="2" s="1"/>
  <c r="G19" i="4"/>
  <c r="G19" i="2" s="1"/>
  <c r="G20" i="4"/>
  <c r="G20" i="2" s="1"/>
  <c r="G21" i="4"/>
  <c r="G21" i="2" s="1"/>
  <c r="G22" i="4"/>
  <c r="G22" i="2" s="1"/>
  <c r="G23" i="4"/>
  <c r="G23" i="2" s="1"/>
  <c r="G24" i="4"/>
  <c r="G24" i="2" s="1"/>
  <c r="G25" i="4"/>
  <c r="G25" i="2" s="1"/>
  <c r="G26" i="4"/>
  <c r="G26" i="2" s="1"/>
  <c r="G27" i="4"/>
  <c r="G27" i="2" s="1"/>
  <c r="G28" i="4"/>
  <c r="G28" i="2" s="1"/>
  <c r="G29" i="4"/>
  <c r="G29" i="2" s="1"/>
  <c r="G30" i="4"/>
  <c r="G30" i="2" s="1"/>
  <c r="G31" i="4"/>
  <c r="G31" i="2" s="1"/>
  <c r="G32" i="4"/>
  <c r="G32" i="2" s="1"/>
  <c r="G33" i="4"/>
  <c r="G33" i="2" s="1"/>
  <c r="G34" i="4"/>
  <c r="G34" i="2" s="1"/>
  <c r="G35" i="4"/>
  <c r="G36" i="4"/>
  <c r="G36" i="2" s="1"/>
  <c r="G3" i="4"/>
  <c r="G3" i="2" s="1"/>
  <c r="I3" i="4"/>
  <c r="I3" i="2" s="1"/>
  <c r="I5" i="4"/>
  <c r="I5" i="2" s="1"/>
  <c r="I6" i="4"/>
  <c r="I6" i="2" s="1"/>
  <c r="I7" i="4"/>
  <c r="I7" i="2" s="1"/>
  <c r="I8" i="4"/>
  <c r="I8" i="2" s="1"/>
  <c r="I9" i="4"/>
  <c r="I9" i="2" s="1"/>
  <c r="I10" i="4"/>
  <c r="I10" i="2" s="1"/>
  <c r="I11" i="4"/>
  <c r="I12" i="4"/>
  <c r="I12" i="2" s="1"/>
  <c r="I13" i="4"/>
  <c r="I13" i="2" s="1"/>
  <c r="I14" i="4"/>
  <c r="I14" i="2" s="1"/>
  <c r="I15" i="4"/>
  <c r="I15" i="2" s="1"/>
  <c r="I16" i="4"/>
  <c r="I16" i="2" s="1"/>
  <c r="I17" i="4"/>
  <c r="I17" i="2" s="1"/>
  <c r="I18" i="4"/>
  <c r="I18" i="2" s="1"/>
  <c r="I19" i="4"/>
  <c r="I19" i="2" s="1"/>
  <c r="I20" i="4"/>
  <c r="I20" i="2" s="1"/>
  <c r="I21" i="4"/>
  <c r="I21" i="2" s="1"/>
  <c r="I22" i="4"/>
  <c r="I22" i="2" s="1"/>
  <c r="I23" i="4"/>
  <c r="I24" i="4"/>
  <c r="I24" i="2" s="1"/>
  <c r="I25" i="4"/>
  <c r="I25" i="2" s="1"/>
  <c r="I26" i="4"/>
  <c r="I26" i="2" s="1"/>
  <c r="I27" i="4"/>
  <c r="I27" i="2" s="1"/>
  <c r="I28" i="4"/>
  <c r="I28" i="2" s="1"/>
  <c r="I29" i="4"/>
  <c r="I29" i="2" s="1"/>
  <c r="I30" i="4"/>
  <c r="I30" i="2" s="1"/>
  <c r="I31" i="4"/>
  <c r="I31" i="2" s="1"/>
  <c r="I32" i="4"/>
  <c r="I32" i="2" s="1"/>
  <c r="I33" i="4"/>
  <c r="I34" i="4"/>
  <c r="I34" i="2" s="1"/>
  <c r="I35" i="4"/>
  <c r="I35" i="2" s="1"/>
  <c r="I36" i="4"/>
  <c r="I36" i="2" s="1"/>
  <c r="I4" i="4"/>
  <c r="I4" i="2" s="1"/>
  <c r="J39" i="5"/>
  <c r="J38" i="5"/>
  <c r="A39" i="5"/>
  <c r="A39" i="8" s="1"/>
  <c r="J37" i="5"/>
  <c r="A38" i="5"/>
  <c r="J36" i="5"/>
  <c r="A37" i="5"/>
  <c r="A37" i="8" s="1"/>
  <c r="J35" i="5"/>
  <c r="A36" i="5"/>
  <c r="A36" i="8" s="1"/>
  <c r="J34" i="5"/>
  <c r="A35" i="5"/>
  <c r="A35" i="8" s="1"/>
  <c r="J33" i="5"/>
  <c r="A34" i="5"/>
  <c r="J32" i="5"/>
  <c r="A33" i="5"/>
  <c r="A33" i="8" s="1"/>
  <c r="J31" i="5"/>
  <c r="A32" i="5"/>
  <c r="A32" i="8" s="1"/>
  <c r="J30" i="5"/>
  <c r="A31" i="5"/>
  <c r="A31" i="8" s="1"/>
  <c r="J29" i="5"/>
  <c r="A30" i="5"/>
  <c r="J28" i="5"/>
  <c r="A29" i="5"/>
  <c r="A29" i="8" s="1"/>
  <c r="J27" i="5"/>
  <c r="A28" i="5"/>
  <c r="A28" i="8" s="1"/>
  <c r="J26" i="5"/>
  <c r="A27" i="5"/>
  <c r="A27" i="8" s="1"/>
  <c r="J25" i="5"/>
  <c r="A26" i="5"/>
  <c r="J24" i="5"/>
  <c r="A25" i="5"/>
  <c r="A25" i="8" s="1"/>
  <c r="J23" i="5"/>
  <c r="A24" i="5"/>
  <c r="A24" i="8" s="1"/>
  <c r="J22" i="5"/>
  <c r="A23" i="5"/>
  <c r="A23" i="8" s="1"/>
  <c r="J21" i="5"/>
  <c r="A22" i="5"/>
  <c r="J20" i="5"/>
  <c r="A21" i="5"/>
  <c r="A21" i="8" s="1"/>
  <c r="J19" i="5"/>
  <c r="A20" i="5"/>
  <c r="A20" i="8" s="1"/>
  <c r="J18" i="5"/>
  <c r="A19" i="5"/>
  <c r="A19" i="8" s="1"/>
  <c r="J17" i="5"/>
  <c r="A18" i="5"/>
  <c r="J16" i="5"/>
  <c r="A17" i="5"/>
  <c r="A17" i="8" s="1"/>
  <c r="J15" i="5"/>
  <c r="A16" i="5"/>
  <c r="A16" i="8" s="1"/>
  <c r="J14" i="5"/>
  <c r="A15" i="5"/>
  <c r="A15" i="8" s="1"/>
  <c r="J13" i="5"/>
  <c r="A14" i="5"/>
  <c r="J12" i="5"/>
  <c r="A13" i="5"/>
  <c r="A13" i="8" s="1"/>
  <c r="J11" i="5"/>
  <c r="A12" i="5"/>
  <c r="A12" i="8" s="1"/>
  <c r="J10" i="5"/>
  <c r="A11" i="5"/>
  <c r="A11" i="8" s="1"/>
  <c r="J9" i="5"/>
  <c r="A10" i="5"/>
  <c r="J8" i="5"/>
  <c r="A9" i="5"/>
  <c r="A9" i="8" s="1"/>
  <c r="J7" i="5"/>
  <c r="A8" i="5"/>
  <c r="A8" i="8" s="1"/>
  <c r="J6" i="5"/>
  <c r="A7" i="5"/>
  <c r="A7" i="8" s="1"/>
  <c r="J5" i="5"/>
  <c r="A6" i="5"/>
  <c r="A6" i="8" s="1"/>
  <c r="H38" i="3"/>
  <c r="I38" i="3"/>
  <c r="J38" i="3"/>
  <c r="K38" i="3"/>
  <c r="L38" i="3"/>
  <c r="M38" i="3"/>
  <c r="N38" i="3"/>
  <c r="O38" i="3"/>
  <c r="G38" i="3"/>
  <c r="P37" i="3"/>
  <c r="U36" i="2" s="1"/>
  <c r="P36" i="3"/>
  <c r="U35" i="2" s="1"/>
  <c r="P35" i="3"/>
  <c r="U34" i="2" s="1"/>
  <c r="P34" i="3"/>
  <c r="U33" i="2" s="1"/>
  <c r="C1068" i="7" s="1"/>
  <c r="P33" i="3"/>
  <c r="U32" i="2" s="1"/>
  <c r="P32" i="3"/>
  <c r="U31" i="2" s="1"/>
  <c r="P31" i="3"/>
  <c r="U30" i="2" s="1"/>
  <c r="P30" i="3"/>
  <c r="P29" i="3"/>
  <c r="U28" i="2" s="1"/>
  <c r="P28" i="3"/>
  <c r="U27" i="2" s="1"/>
  <c r="P27" i="3"/>
  <c r="U26" i="2" s="1"/>
  <c r="P26" i="3"/>
  <c r="P25" i="3"/>
  <c r="U24" i="2" s="1"/>
  <c r="P24" i="3"/>
  <c r="U23" i="2" s="1"/>
  <c r="P23" i="3"/>
  <c r="U22" i="2" s="1"/>
  <c r="P22" i="3"/>
  <c r="P21" i="3"/>
  <c r="U20" i="2" s="1"/>
  <c r="P20" i="3"/>
  <c r="U19" i="2" s="1"/>
  <c r="P19" i="3"/>
  <c r="U18" i="2" s="1"/>
  <c r="P18" i="3"/>
  <c r="P17" i="3"/>
  <c r="U16" i="2" s="1"/>
  <c r="P16" i="3"/>
  <c r="U15" i="2" s="1"/>
  <c r="P15" i="3"/>
  <c r="U14" i="2" s="1"/>
  <c r="P14" i="3"/>
  <c r="P13" i="3"/>
  <c r="U12" i="2" s="1"/>
  <c r="C333" i="7" s="1"/>
  <c r="P12" i="3"/>
  <c r="U11" i="2" s="1"/>
  <c r="C298" i="7" s="1"/>
  <c r="P11" i="3"/>
  <c r="U10" i="2" s="1"/>
  <c r="C263" i="7" s="1"/>
  <c r="P10" i="3"/>
  <c r="P9" i="3"/>
  <c r="U8" i="2" s="1"/>
  <c r="C193" i="7" s="1"/>
  <c r="P8" i="3"/>
  <c r="U7" i="2" s="1"/>
  <c r="C158" i="7" s="1"/>
  <c r="P7" i="3"/>
  <c r="U6" i="2" s="1"/>
  <c r="C123" i="7" s="1"/>
  <c r="P5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J36" i="2" s="1"/>
  <c r="P4" i="3"/>
  <c r="F1033" i="7" l="1"/>
  <c r="F998" i="7"/>
  <c r="G928" i="7"/>
  <c r="G858" i="7"/>
  <c r="G788" i="7"/>
  <c r="G718" i="7"/>
  <c r="G648" i="7"/>
  <c r="F613" i="7"/>
  <c r="G578" i="7"/>
  <c r="G508" i="7"/>
  <c r="G438" i="7"/>
  <c r="G403" i="7"/>
  <c r="F1068" i="7"/>
  <c r="G613" i="7"/>
  <c r="F543" i="7"/>
  <c r="F473" i="7"/>
  <c r="G1138" i="7"/>
  <c r="G1103" i="7"/>
  <c r="F928" i="7"/>
  <c r="F858" i="7"/>
  <c r="F788" i="7"/>
  <c r="F718" i="7"/>
  <c r="F648" i="7"/>
  <c r="F578" i="7"/>
  <c r="F508" i="7"/>
  <c r="F438" i="7"/>
  <c r="F403" i="7"/>
  <c r="G998" i="7"/>
  <c r="F753" i="7"/>
  <c r="F1138" i="7"/>
  <c r="F1103" i="7"/>
  <c r="G1068" i="7"/>
  <c r="G963" i="7"/>
  <c r="G893" i="7"/>
  <c r="G823" i="7"/>
  <c r="G753" i="7"/>
  <c r="G683" i="7"/>
  <c r="G543" i="7"/>
  <c r="G473" i="7"/>
  <c r="G1033" i="7"/>
  <c r="F963" i="7"/>
  <c r="F893" i="7"/>
  <c r="F823" i="7"/>
  <c r="F683" i="7"/>
  <c r="B858" i="7"/>
  <c r="D858" i="7" s="1"/>
  <c r="A860" i="7" s="1"/>
  <c r="B718" i="7"/>
  <c r="D718" i="7" s="1"/>
  <c r="B578" i="7"/>
  <c r="D578" i="7" s="1"/>
  <c r="B438" i="7"/>
  <c r="D438" i="7" s="1"/>
  <c r="B1138" i="7"/>
  <c r="D1138" i="7" s="1"/>
  <c r="A1140" i="7" s="1"/>
  <c r="B1033" i="7"/>
  <c r="D1033" i="7" s="1"/>
  <c r="A1035" i="7" s="1"/>
  <c r="B893" i="7"/>
  <c r="D893" i="7" s="1"/>
  <c r="A895" i="7" s="1"/>
  <c r="B753" i="7"/>
  <c r="D753" i="7" s="1"/>
  <c r="E753" i="7" s="1"/>
  <c r="G762" i="7" s="1"/>
  <c r="B473" i="7"/>
  <c r="D473" i="7" s="1"/>
  <c r="B403" i="7"/>
  <c r="D403" i="7" s="1"/>
  <c r="B683" i="7"/>
  <c r="D683" i="7" s="1"/>
  <c r="B1068" i="7"/>
  <c r="D1068" i="7" s="1"/>
  <c r="A1070" i="7" s="1"/>
  <c r="B928" i="7"/>
  <c r="D928" i="7" s="1"/>
  <c r="B788" i="7"/>
  <c r="D788" i="7" s="1"/>
  <c r="A790" i="7" s="1"/>
  <c r="B648" i="7"/>
  <c r="D648" i="7" s="1"/>
  <c r="B613" i="7"/>
  <c r="D613" i="7" s="1"/>
  <c r="B508" i="7"/>
  <c r="D508" i="7" s="1"/>
  <c r="B1103" i="7"/>
  <c r="D1103" i="7" s="1"/>
  <c r="A1105" i="7" s="1"/>
  <c r="B998" i="7"/>
  <c r="D998" i="7" s="1"/>
  <c r="A1000" i="7" s="1"/>
  <c r="B963" i="7"/>
  <c r="D963" i="7" s="1"/>
  <c r="A965" i="7" s="1"/>
  <c r="B823" i="7"/>
  <c r="D823" i="7" s="1"/>
  <c r="E823" i="7" s="1"/>
  <c r="G832" i="7" s="1"/>
  <c r="B543" i="7"/>
  <c r="D543" i="7" s="1"/>
  <c r="E893" i="7"/>
  <c r="G902" i="7" s="1"/>
  <c r="E534" i="7"/>
  <c r="E569" i="7"/>
  <c r="D360" i="7"/>
  <c r="E360" i="7" s="1"/>
  <c r="D359" i="7"/>
  <c r="E359" i="7" s="1"/>
  <c r="B10" i="2"/>
  <c r="E36" i="2"/>
  <c r="C10" i="3"/>
  <c r="E35" i="3"/>
  <c r="B22" i="2"/>
  <c r="C18" i="2"/>
  <c r="C10" i="2"/>
  <c r="C250" i="7" s="1"/>
  <c r="E8" i="2"/>
  <c r="C179" i="7" s="1"/>
  <c r="E27" i="3"/>
  <c r="C30" i="2"/>
  <c r="E20" i="2"/>
  <c r="C26" i="3"/>
  <c r="E19" i="3"/>
  <c r="J30" i="2"/>
  <c r="J22" i="2"/>
  <c r="J18" i="2"/>
  <c r="J14" i="2"/>
  <c r="J6" i="2"/>
  <c r="J33" i="2"/>
  <c r="J21" i="2"/>
  <c r="J13" i="2"/>
  <c r="J4" i="2"/>
  <c r="J32" i="2"/>
  <c r="J28" i="2"/>
  <c r="J24" i="2"/>
  <c r="J20" i="2"/>
  <c r="J16" i="2"/>
  <c r="J12" i="2"/>
  <c r="J8" i="2"/>
  <c r="B368" i="7"/>
  <c r="D368" i="7" s="1"/>
  <c r="B333" i="7"/>
  <c r="D333" i="7" s="1"/>
  <c r="B298" i="7"/>
  <c r="D298" i="7" s="1"/>
  <c r="B263" i="7"/>
  <c r="D263" i="7" s="1"/>
  <c r="B193" i="7"/>
  <c r="D193" i="7" s="1"/>
  <c r="B123" i="7"/>
  <c r="D123" i="7" s="1"/>
  <c r="B18" i="7"/>
  <c r="B228" i="7"/>
  <c r="D228" i="7" s="1"/>
  <c r="B158" i="7"/>
  <c r="D158" i="7" s="1"/>
  <c r="B88" i="7"/>
  <c r="D88" i="7" s="1"/>
  <c r="B53" i="7"/>
  <c r="D53" i="7" s="1"/>
  <c r="J34" i="2"/>
  <c r="J26" i="2"/>
  <c r="J10" i="2"/>
  <c r="J29" i="2"/>
  <c r="J25" i="2"/>
  <c r="J17" i="2"/>
  <c r="J9" i="2"/>
  <c r="J5" i="2"/>
  <c r="G18" i="7"/>
  <c r="G368" i="7"/>
  <c r="G333" i="7"/>
  <c r="G263" i="7"/>
  <c r="F333" i="7"/>
  <c r="F263" i="7"/>
  <c r="G298" i="7"/>
  <c r="F368" i="7"/>
  <c r="F298" i="7"/>
  <c r="J35" i="2"/>
  <c r="J31" i="2"/>
  <c r="J27" i="2"/>
  <c r="J23" i="2"/>
  <c r="J19" i="2"/>
  <c r="J15" i="2"/>
  <c r="J11" i="2"/>
  <c r="J7" i="2"/>
  <c r="D32" i="2"/>
  <c r="D28" i="2"/>
  <c r="D29" i="3"/>
  <c r="D16" i="2"/>
  <c r="D17" i="3"/>
  <c r="D12" i="2"/>
  <c r="H320" i="7" s="1"/>
  <c r="B342" i="7" s="1"/>
  <c r="D13" i="3"/>
  <c r="C3" i="2"/>
  <c r="C5" i="7" s="1"/>
  <c r="B4" i="3"/>
  <c r="B35" i="3"/>
  <c r="C31" i="3"/>
  <c r="C15" i="3"/>
  <c r="B3" i="2"/>
  <c r="E5" i="7" s="1"/>
  <c r="E27" i="7" s="1"/>
  <c r="B26" i="2"/>
  <c r="B6" i="2"/>
  <c r="C14" i="2"/>
  <c r="E28" i="2"/>
  <c r="E12" i="2"/>
  <c r="C319" i="7" s="1"/>
  <c r="B34" i="3"/>
  <c r="B18" i="3"/>
  <c r="E7" i="3"/>
  <c r="E15" i="3"/>
  <c r="E23" i="3"/>
  <c r="E31" i="3"/>
  <c r="D36" i="2"/>
  <c r="D37" i="3"/>
  <c r="D24" i="2"/>
  <c r="D25" i="3"/>
  <c r="D20" i="2"/>
  <c r="D21" i="3"/>
  <c r="D8" i="2"/>
  <c r="H180" i="7" s="1"/>
  <c r="B202" i="7" s="1"/>
  <c r="D9" i="3"/>
  <c r="B27" i="3"/>
  <c r="B18" i="2"/>
  <c r="E32" i="2"/>
  <c r="E16" i="2"/>
  <c r="B36" i="2"/>
  <c r="C37" i="3"/>
  <c r="B32" i="2"/>
  <c r="C33" i="3"/>
  <c r="B28" i="2"/>
  <c r="C29" i="3"/>
  <c r="B24" i="2"/>
  <c r="C25" i="3"/>
  <c r="B20" i="2"/>
  <c r="C21" i="3"/>
  <c r="B16" i="2"/>
  <c r="C17" i="3"/>
  <c r="B12" i="2"/>
  <c r="C13" i="3"/>
  <c r="B8" i="2"/>
  <c r="C9" i="3"/>
  <c r="C36" i="2"/>
  <c r="B37" i="3"/>
  <c r="C32" i="2"/>
  <c r="B33" i="3"/>
  <c r="C28" i="2"/>
  <c r="B29" i="3"/>
  <c r="C24" i="2"/>
  <c r="B25" i="3"/>
  <c r="C20" i="2"/>
  <c r="B21" i="3"/>
  <c r="C16" i="2"/>
  <c r="B17" i="3"/>
  <c r="C12" i="2"/>
  <c r="C320" i="7" s="1"/>
  <c r="B13" i="3"/>
  <c r="C8" i="2"/>
  <c r="C180" i="7" s="1"/>
  <c r="B9" i="3"/>
  <c r="E3" i="2"/>
  <c r="C4" i="7" s="1"/>
  <c r="E4" i="3"/>
  <c r="B23" i="3"/>
  <c r="B7" i="3"/>
  <c r="A351" i="7"/>
  <c r="F374" i="7" s="1"/>
  <c r="A106" i="7"/>
  <c r="F129" i="7" s="1"/>
  <c r="A36" i="7"/>
  <c r="F59" i="7" s="1"/>
  <c r="A316" i="7"/>
  <c r="F339" i="7" s="1"/>
  <c r="A246" i="7"/>
  <c r="F269" i="7" s="1"/>
  <c r="A141" i="7"/>
  <c r="F164" i="7" s="1"/>
  <c r="A71" i="7"/>
  <c r="F94" i="7" s="1"/>
  <c r="A281" i="7"/>
  <c r="F304" i="7" s="1"/>
  <c r="A211" i="7"/>
  <c r="F234" i="7" s="1"/>
  <c r="A176" i="7"/>
  <c r="F199" i="7" s="1"/>
  <c r="V22" i="2"/>
  <c r="I674" i="7" s="1"/>
  <c r="V6" i="2"/>
  <c r="I114" i="7" s="1"/>
  <c r="C114" i="7"/>
  <c r="D114" i="7" s="1"/>
  <c r="E114" i="7" s="1"/>
  <c r="Y33" i="2"/>
  <c r="Y25" i="2"/>
  <c r="Y17" i="2"/>
  <c r="AC30" i="2"/>
  <c r="C16" i="7"/>
  <c r="D16" i="7" s="1"/>
  <c r="E16" i="7" s="1"/>
  <c r="X13" i="2"/>
  <c r="I361" i="7" s="1"/>
  <c r="C116" i="7"/>
  <c r="D116" i="7" s="1"/>
  <c r="E116" i="7" s="1"/>
  <c r="F24" i="7"/>
  <c r="E75" i="7"/>
  <c r="E97" i="7" s="1"/>
  <c r="E40" i="7"/>
  <c r="E62" i="7" s="1"/>
  <c r="A282" i="7"/>
  <c r="A247" i="7"/>
  <c r="A177" i="7"/>
  <c r="A317" i="7"/>
  <c r="A352" i="7"/>
  <c r="A37" i="7"/>
  <c r="A212" i="7"/>
  <c r="A142" i="7"/>
  <c r="A72" i="7"/>
  <c r="A107" i="7"/>
  <c r="V16" i="2"/>
  <c r="I464" i="7" s="1"/>
  <c r="W31" i="2"/>
  <c r="W27" i="2"/>
  <c r="W23" i="2"/>
  <c r="W15" i="2"/>
  <c r="W11" i="2"/>
  <c r="I290" i="7" s="1"/>
  <c r="C290" i="7"/>
  <c r="D290" i="7" s="1"/>
  <c r="E290" i="7" s="1"/>
  <c r="W7" i="2"/>
  <c r="I150" i="7" s="1"/>
  <c r="C150" i="7"/>
  <c r="D150" i="7" s="1"/>
  <c r="E150" i="7" s="1"/>
  <c r="X29" i="2"/>
  <c r="X21" i="2"/>
  <c r="X5" i="2"/>
  <c r="I81" i="7" s="1"/>
  <c r="C81" i="7"/>
  <c r="D81" i="7" s="1"/>
  <c r="E81" i="7" s="1"/>
  <c r="Z29" i="2"/>
  <c r="Z21" i="2"/>
  <c r="Z13" i="2"/>
  <c r="I363" i="7" s="1"/>
  <c r="C363" i="7"/>
  <c r="D363" i="7" s="1"/>
  <c r="E363" i="7" s="1"/>
  <c r="AA35" i="2"/>
  <c r="AC3" i="2"/>
  <c r="I16" i="7" s="1"/>
  <c r="A2" i="7"/>
  <c r="V11" i="2"/>
  <c r="I289" i="7" s="1"/>
  <c r="C289" i="7"/>
  <c r="D289" i="7" s="1"/>
  <c r="E289" i="7" s="1"/>
  <c r="T41" i="2"/>
  <c r="F228" i="7"/>
  <c r="F193" i="7"/>
  <c r="F158" i="7"/>
  <c r="G123" i="7"/>
  <c r="G88" i="7"/>
  <c r="G53" i="7"/>
  <c r="G228" i="7"/>
  <c r="G193" i="7"/>
  <c r="G158" i="7"/>
  <c r="F123" i="7"/>
  <c r="F88" i="7"/>
  <c r="F53" i="7"/>
  <c r="U3" i="2"/>
  <c r="C18" i="7" s="1"/>
  <c r="F18" i="7"/>
  <c r="B27" i="7"/>
  <c r="V30" i="2"/>
  <c r="I954" i="7" s="1"/>
  <c r="V10" i="2"/>
  <c r="I254" i="7" s="1"/>
  <c r="W30" i="2"/>
  <c r="W18" i="2"/>
  <c r="W6" i="2"/>
  <c r="I115" i="7" s="1"/>
  <c r="X30" i="2"/>
  <c r="X18" i="2"/>
  <c r="X10" i="2"/>
  <c r="I256" i="7" s="1"/>
  <c r="Y34" i="2"/>
  <c r="Y18" i="2"/>
  <c r="Y6" i="2"/>
  <c r="I117" i="7" s="1"/>
  <c r="Z30" i="2"/>
  <c r="Z14" i="2"/>
  <c r="AA34" i="2"/>
  <c r="AA22" i="2"/>
  <c r="AA10" i="2"/>
  <c r="I259" i="7" s="1"/>
  <c r="AA6" i="2"/>
  <c r="I119" i="7" s="1"/>
  <c r="AB22" i="2"/>
  <c r="V33" i="2"/>
  <c r="I1059" i="7" s="1"/>
  <c r="V29" i="2"/>
  <c r="I919" i="7" s="1"/>
  <c r="V25" i="2"/>
  <c r="I779" i="7" s="1"/>
  <c r="V21" i="2"/>
  <c r="I639" i="7" s="1"/>
  <c r="V17" i="2"/>
  <c r="I499" i="7" s="1"/>
  <c r="V13" i="2"/>
  <c r="I359" i="7" s="1"/>
  <c r="V9" i="2"/>
  <c r="I219" i="7" s="1"/>
  <c r="V5" i="2"/>
  <c r="I79" i="7" s="1"/>
  <c r="W33" i="2"/>
  <c r="W29" i="2"/>
  <c r="W25" i="2"/>
  <c r="W21" i="2"/>
  <c r="W17" i="2"/>
  <c r="W13" i="2"/>
  <c r="I360" i="7" s="1"/>
  <c r="W9" i="2"/>
  <c r="I220" i="7" s="1"/>
  <c r="W5" i="2"/>
  <c r="I80" i="7" s="1"/>
  <c r="X33" i="2"/>
  <c r="X25" i="2"/>
  <c r="X17" i="2"/>
  <c r="X9" i="2"/>
  <c r="I221" i="7" s="1"/>
  <c r="Y29" i="2"/>
  <c r="Y21" i="2"/>
  <c r="Y13" i="2"/>
  <c r="I362" i="7" s="1"/>
  <c r="Y5" i="2"/>
  <c r="I82" i="7" s="1"/>
  <c r="Z33" i="2"/>
  <c r="Z25" i="2"/>
  <c r="Z17" i="2"/>
  <c r="Z9" i="2"/>
  <c r="I223" i="7" s="1"/>
  <c r="Z5" i="2"/>
  <c r="I83" i="7" s="1"/>
  <c r="AA33" i="2"/>
  <c r="AA29" i="2"/>
  <c r="AA25" i="2"/>
  <c r="AA21" i="2"/>
  <c r="AA17" i="2"/>
  <c r="AA13" i="2"/>
  <c r="I364" i="7" s="1"/>
  <c r="AA9" i="2"/>
  <c r="I224" i="7" s="1"/>
  <c r="AA5" i="2"/>
  <c r="I84" i="7" s="1"/>
  <c r="AB33" i="2"/>
  <c r="AB29" i="2"/>
  <c r="AB25" i="2"/>
  <c r="AB21" i="2"/>
  <c r="AB17" i="2"/>
  <c r="AB13" i="2"/>
  <c r="I365" i="7" s="1"/>
  <c r="AB9" i="2"/>
  <c r="I225" i="7" s="1"/>
  <c r="AB5" i="2"/>
  <c r="I85" i="7" s="1"/>
  <c r="AD33" i="2"/>
  <c r="AD29" i="2"/>
  <c r="AD25" i="2"/>
  <c r="AD21" i="2"/>
  <c r="AD17" i="2"/>
  <c r="AD13" i="2"/>
  <c r="I367" i="7" s="1"/>
  <c r="AD9" i="2"/>
  <c r="I227" i="7" s="1"/>
  <c r="AD5" i="2"/>
  <c r="I87" i="7" s="1"/>
  <c r="AF25" i="2"/>
  <c r="I788" i="7" s="1"/>
  <c r="AF21" i="2"/>
  <c r="I648" i="7" s="1"/>
  <c r="AF9" i="2"/>
  <c r="I228" i="7" s="1"/>
  <c r="AF5" i="2"/>
  <c r="I88" i="7" s="1"/>
  <c r="AD15" i="2"/>
  <c r="V26" i="2"/>
  <c r="I814" i="7" s="1"/>
  <c r="V14" i="2"/>
  <c r="I394" i="7" s="1"/>
  <c r="W34" i="2"/>
  <c r="W22" i="2"/>
  <c r="X26" i="2"/>
  <c r="X14" i="2"/>
  <c r="X6" i="2"/>
  <c r="I116" i="7" s="1"/>
  <c r="Y30" i="2"/>
  <c r="Y22" i="2"/>
  <c r="Y10" i="2"/>
  <c r="I257" i="7" s="1"/>
  <c r="Z34" i="2"/>
  <c r="Z22" i="2"/>
  <c r="Z10" i="2"/>
  <c r="I258" i="7" s="1"/>
  <c r="Z6" i="2"/>
  <c r="I118" i="7" s="1"/>
  <c r="AA30" i="2"/>
  <c r="AA14" i="2"/>
  <c r="AB30" i="2"/>
  <c r="AB18" i="2"/>
  <c r="W19" i="2"/>
  <c r="Y9" i="2"/>
  <c r="I222" i="7" s="1"/>
  <c r="K39" i="2"/>
  <c r="K40" i="2"/>
  <c r="C9" i="7"/>
  <c r="D9" i="7" s="1"/>
  <c r="E9" i="7" s="1"/>
  <c r="V36" i="2"/>
  <c r="V28" i="2"/>
  <c r="I884" i="7" s="1"/>
  <c r="V24" i="2"/>
  <c r="I744" i="7" s="1"/>
  <c r="V20" i="2"/>
  <c r="I604" i="7" s="1"/>
  <c r="V12" i="2"/>
  <c r="I324" i="7" s="1"/>
  <c r="V8" i="2"/>
  <c r="I184" i="7" s="1"/>
  <c r="L39" i="2"/>
  <c r="C10" i="7"/>
  <c r="D10" i="7" s="1"/>
  <c r="E10" i="7" s="1"/>
  <c r="L40" i="2"/>
  <c r="W3" i="2"/>
  <c r="I10" i="7" s="1"/>
  <c r="W36" i="2"/>
  <c r="W32" i="2"/>
  <c r="W28" i="2"/>
  <c r="W24" i="2"/>
  <c r="W20" i="2"/>
  <c r="W16" i="2"/>
  <c r="W12" i="2"/>
  <c r="I325" i="7" s="1"/>
  <c r="W8" i="2"/>
  <c r="I185" i="7" s="1"/>
  <c r="M40" i="2"/>
  <c r="M39" i="2"/>
  <c r="X3" i="2"/>
  <c r="I11" i="7" s="1"/>
  <c r="X36" i="2"/>
  <c r="X32" i="2"/>
  <c r="X28" i="2"/>
  <c r="X24" i="2"/>
  <c r="X20" i="2"/>
  <c r="X16" i="2"/>
  <c r="X12" i="2"/>
  <c r="I326" i="7" s="1"/>
  <c r="X8" i="2"/>
  <c r="I186" i="7" s="1"/>
  <c r="N39" i="2"/>
  <c r="N40" i="2"/>
  <c r="D14" i="7"/>
  <c r="E14" i="7" s="1"/>
  <c r="Y3" i="2"/>
  <c r="I12" i="7" s="1"/>
  <c r="Y36" i="2"/>
  <c r="Y32" i="2"/>
  <c r="Y28" i="2"/>
  <c r="Y24" i="2"/>
  <c r="Y20" i="2"/>
  <c r="Y16" i="2"/>
  <c r="Y12" i="2"/>
  <c r="I327" i="7" s="1"/>
  <c r="Y8" i="2"/>
  <c r="I187" i="7" s="1"/>
  <c r="O39" i="2"/>
  <c r="D11" i="7"/>
  <c r="E11" i="7" s="1"/>
  <c r="O40" i="2"/>
  <c r="Z3" i="2"/>
  <c r="I13" i="7" s="1"/>
  <c r="Z36" i="2"/>
  <c r="Z32" i="2"/>
  <c r="Z28" i="2"/>
  <c r="Z24" i="2"/>
  <c r="Z20" i="2"/>
  <c r="Z16" i="2"/>
  <c r="Z12" i="2"/>
  <c r="I328" i="7" s="1"/>
  <c r="Z8" i="2"/>
  <c r="I188" i="7" s="1"/>
  <c r="D12" i="7"/>
  <c r="E12" i="7" s="1"/>
  <c r="P39" i="2"/>
  <c r="AA3" i="2"/>
  <c r="I14" i="7" s="1"/>
  <c r="P40" i="2"/>
  <c r="AA36" i="2"/>
  <c r="AA32" i="2"/>
  <c r="AA28" i="2"/>
  <c r="AA24" i="2"/>
  <c r="AA20" i="2"/>
  <c r="AA16" i="2"/>
  <c r="AA12" i="2"/>
  <c r="I329" i="7" s="1"/>
  <c r="AA8" i="2"/>
  <c r="I189" i="7" s="1"/>
  <c r="AF11" i="2"/>
  <c r="I298" i="7" s="1"/>
  <c r="V34" i="2"/>
  <c r="I1094" i="7" s="1"/>
  <c r="V18" i="2"/>
  <c r="I534" i="7" s="1"/>
  <c r="W26" i="2"/>
  <c r="W14" i="2"/>
  <c r="W10" i="2"/>
  <c r="I255" i="7" s="1"/>
  <c r="X34" i="2"/>
  <c r="X22" i="2"/>
  <c r="Y26" i="2"/>
  <c r="Y14" i="2"/>
  <c r="Z26" i="2"/>
  <c r="Z18" i="2"/>
  <c r="AA26" i="2"/>
  <c r="AA18" i="2"/>
  <c r="AB34" i="2"/>
  <c r="AB26" i="2"/>
  <c r="AB14" i="2"/>
  <c r="W35" i="2"/>
  <c r="V3" i="2"/>
  <c r="I9" i="7" s="1"/>
  <c r="V27" i="2"/>
  <c r="I849" i="7" s="1"/>
  <c r="Z4" i="2"/>
  <c r="I48" i="7" s="1"/>
  <c r="AB31" i="2"/>
  <c r="V4" i="2"/>
  <c r="I44" i="7" s="1"/>
  <c r="V35" i="2"/>
  <c r="I1129" i="7" s="1"/>
  <c r="V31" i="2"/>
  <c r="I989" i="7" s="1"/>
  <c r="V23" i="2"/>
  <c r="I709" i="7" s="1"/>
  <c r="V19" i="2"/>
  <c r="I569" i="7" s="1"/>
  <c r="V15" i="2"/>
  <c r="I429" i="7" s="1"/>
  <c r="V7" i="2"/>
  <c r="I149" i="7" s="1"/>
  <c r="W4" i="2"/>
  <c r="I45" i="7" s="1"/>
  <c r="X4" i="2"/>
  <c r="I46" i="7" s="1"/>
  <c r="X35" i="2"/>
  <c r="X31" i="2"/>
  <c r="X27" i="2"/>
  <c r="X23" i="2"/>
  <c r="X19" i="2"/>
  <c r="X15" i="2"/>
  <c r="X11" i="2"/>
  <c r="I291" i="7" s="1"/>
  <c r="X7" i="2"/>
  <c r="I151" i="7" s="1"/>
  <c r="Y4" i="2"/>
  <c r="I47" i="7" s="1"/>
  <c r="Y35" i="2"/>
  <c r="Y31" i="2"/>
  <c r="Y27" i="2"/>
  <c r="Y23" i="2"/>
  <c r="Y19" i="2"/>
  <c r="Y15" i="2"/>
  <c r="Y11" i="2"/>
  <c r="I292" i="7" s="1"/>
  <c r="Y7" i="2"/>
  <c r="I152" i="7" s="1"/>
  <c r="Z35" i="2"/>
  <c r="Z31" i="2"/>
  <c r="Z27" i="2"/>
  <c r="Z23" i="2"/>
  <c r="Z19" i="2"/>
  <c r="Z15" i="2"/>
  <c r="Z11" i="2"/>
  <c r="I293" i="7" s="1"/>
  <c r="Z7" i="2"/>
  <c r="I153" i="7" s="1"/>
  <c r="AA4" i="2"/>
  <c r="I49" i="7" s="1"/>
  <c r="AA31" i="2"/>
  <c r="AA27" i="2"/>
  <c r="AA23" i="2"/>
  <c r="AA19" i="2"/>
  <c r="AA15" i="2"/>
  <c r="AA11" i="2"/>
  <c r="I294" i="7" s="1"/>
  <c r="AA7" i="2"/>
  <c r="I154" i="7" s="1"/>
  <c r="AB4" i="2"/>
  <c r="I50" i="7" s="1"/>
  <c r="AB23" i="2"/>
  <c r="AB15" i="2"/>
  <c r="AB7" i="2"/>
  <c r="I155" i="7" s="1"/>
  <c r="AD31" i="2"/>
  <c r="AF27" i="2"/>
  <c r="I858" i="7" s="1"/>
  <c r="V32" i="2"/>
  <c r="I1024" i="7" s="1"/>
  <c r="AB3" i="2"/>
  <c r="I15" i="7" s="1"/>
  <c r="Q40" i="2"/>
  <c r="Q39" i="2"/>
  <c r="AB36" i="2"/>
  <c r="AB32" i="2"/>
  <c r="AB28" i="2"/>
  <c r="AB24" i="2"/>
  <c r="AB20" i="2"/>
  <c r="AB16" i="2"/>
  <c r="AB12" i="2"/>
  <c r="I330" i="7" s="1"/>
  <c r="AB8" i="2"/>
  <c r="I190" i="7" s="1"/>
  <c r="S39" i="2"/>
  <c r="D15" i="7"/>
  <c r="E15" i="7" s="1"/>
  <c r="S40" i="2"/>
  <c r="AD36" i="2"/>
  <c r="AD32" i="2"/>
  <c r="AD28" i="2"/>
  <c r="AD24" i="2"/>
  <c r="AD20" i="2"/>
  <c r="AD16" i="2"/>
  <c r="AD12" i="2"/>
  <c r="I332" i="7" s="1"/>
  <c r="AD8" i="2"/>
  <c r="I192" i="7" s="1"/>
  <c r="U40" i="2"/>
  <c r="U39" i="2"/>
  <c r="AF36" i="2"/>
  <c r="AF24" i="2"/>
  <c r="I753" i="7" s="1"/>
  <c r="AF20" i="2"/>
  <c r="I613" i="7" s="1"/>
  <c r="AF8" i="2"/>
  <c r="I193" i="7" s="1"/>
  <c r="AB35" i="2"/>
  <c r="AB27" i="2"/>
  <c r="AB19" i="2"/>
  <c r="AB11" i="2"/>
  <c r="I295" i="7" s="1"/>
  <c r="AD4" i="2"/>
  <c r="I52" i="7" s="1"/>
  <c r="AD35" i="2"/>
  <c r="AD27" i="2"/>
  <c r="AD23" i="2"/>
  <c r="AD19" i="2"/>
  <c r="AD11" i="2"/>
  <c r="I297" i="7" s="1"/>
  <c r="AD7" i="2"/>
  <c r="I157" i="7" s="1"/>
  <c r="AF4" i="2"/>
  <c r="I53" i="7" s="1"/>
  <c r="AF35" i="2"/>
  <c r="I1138" i="7" s="1"/>
  <c r="AF19" i="2"/>
  <c r="I578" i="7" s="1"/>
  <c r="AF15" i="2"/>
  <c r="I438" i="7" s="1"/>
  <c r="AB10" i="2"/>
  <c r="I260" i="7" s="1"/>
  <c r="AB6" i="2"/>
  <c r="I120" i="7" s="1"/>
  <c r="AD34" i="2"/>
  <c r="AD30" i="2"/>
  <c r="AD26" i="2"/>
  <c r="AD22" i="2"/>
  <c r="AD18" i="2"/>
  <c r="AD14" i="2"/>
  <c r="AD10" i="2"/>
  <c r="I262" i="7" s="1"/>
  <c r="AD6" i="2"/>
  <c r="I122" i="7" s="1"/>
  <c r="AF30" i="2"/>
  <c r="I963" i="7" s="1"/>
  <c r="AF26" i="2"/>
  <c r="I823" i="7" s="1"/>
  <c r="AF14" i="2"/>
  <c r="I403" i="7" s="1"/>
  <c r="AF10" i="2"/>
  <c r="I263" i="7" s="1"/>
  <c r="AD3" i="2"/>
  <c r="I17" i="7" s="1"/>
  <c r="AC4" i="2"/>
  <c r="I51" i="7" s="1"/>
  <c r="R39" i="2"/>
  <c r="R40" i="2"/>
  <c r="AC14" i="2"/>
  <c r="AC35" i="2"/>
  <c r="AC19" i="2"/>
  <c r="AC7" i="2"/>
  <c r="I156" i="7" s="1"/>
  <c r="AC9" i="2"/>
  <c r="I226" i="7" s="1"/>
  <c r="D13" i="7"/>
  <c r="E13" i="7" s="1"/>
  <c r="AC31" i="2"/>
  <c r="AC27" i="2"/>
  <c r="AC15" i="2"/>
  <c r="AC11" i="2"/>
  <c r="I296" i="7" s="1"/>
  <c r="AC5" i="2"/>
  <c r="I86" i="7" s="1"/>
  <c r="D17" i="7"/>
  <c r="E17" i="7" s="1"/>
  <c r="AC34" i="2"/>
  <c r="AC23" i="2"/>
  <c r="AC13" i="2"/>
  <c r="I366" i="7" s="1"/>
  <c r="AC33" i="2"/>
  <c r="AC22" i="2"/>
  <c r="AC17" i="2"/>
  <c r="AC6" i="2"/>
  <c r="I121" i="7" s="1"/>
  <c r="AC29" i="2"/>
  <c r="AC18" i="2"/>
  <c r="AC26" i="2"/>
  <c r="AC21" i="2"/>
  <c r="AC10" i="2"/>
  <c r="I261" i="7" s="1"/>
  <c r="AC36" i="2"/>
  <c r="AC32" i="2"/>
  <c r="AC28" i="2"/>
  <c r="AC24" i="2"/>
  <c r="AC20" i="2"/>
  <c r="AC16" i="2"/>
  <c r="AC12" i="2"/>
  <c r="I331" i="7" s="1"/>
  <c r="AC8" i="2"/>
  <c r="I191" i="7" s="1"/>
  <c r="P38" i="3"/>
  <c r="E158" i="7" l="1"/>
  <c r="G167" i="7" s="1"/>
  <c r="A160" i="7"/>
  <c r="E368" i="7"/>
  <c r="G377" i="7" s="1"/>
  <c r="A370" i="7"/>
  <c r="E438" i="7"/>
  <c r="G447" i="7" s="1"/>
  <c r="A440" i="7"/>
  <c r="E683" i="7"/>
  <c r="G692" i="7" s="1"/>
  <c r="A685" i="7"/>
  <c r="E578" i="7"/>
  <c r="G587" i="7" s="1"/>
  <c r="A580" i="7"/>
  <c r="E228" i="7"/>
  <c r="G237" i="7" s="1"/>
  <c r="A230" i="7"/>
  <c r="E858" i="7"/>
  <c r="G867" i="7" s="1"/>
  <c r="E403" i="7"/>
  <c r="G412" i="7" s="1"/>
  <c r="A405" i="7"/>
  <c r="E718" i="7"/>
  <c r="G727" i="7" s="1"/>
  <c r="A720" i="7"/>
  <c r="E123" i="7"/>
  <c r="G132" i="7" s="1"/>
  <c r="A125" i="7"/>
  <c r="E788" i="7"/>
  <c r="G797" i="7" s="1"/>
  <c r="E508" i="7"/>
  <c r="G517" i="7" s="1"/>
  <c r="A510" i="7"/>
  <c r="E473" i="7"/>
  <c r="G482" i="7" s="1"/>
  <c r="A475" i="7"/>
  <c r="E193" i="7"/>
  <c r="G202" i="7" s="1"/>
  <c r="A195" i="7"/>
  <c r="A825" i="7"/>
  <c r="E613" i="7"/>
  <c r="G622" i="7" s="1"/>
  <c r="A615" i="7"/>
  <c r="E263" i="7"/>
  <c r="G272" i="7" s="1"/>
  <c r="A265" i="7"/>
  <c r="E648" i="7"/>
  <c r="G657" i="7" s="1"/>
  <c r="A650" i="7"/>
  <c r="E53" i="7"/>
  <c r="G62" i="7" s="1"/>
  <c r="A55" i="7"/>
  <c r="E298" i="7"/>
  <c r="G307" i="7" s="1"/>
  <c r="A300" i="7"/>
  <c r="E543" i="7"/>
  <c r="G552" i="7" s="1"/>
  <c r="A545" i="7"/>
  <c r="E88" i="7"/>
  <c r="G97" i="7" s="1"/>
  <c r="A90" i="7"/>
  <c r="E333" i="7"/>
  <c r="G342" i="7" s="1"/>
  <c r="A335" i="7"/>
  <c r="E928" i="7"/>
  <c r="G937" i="7" s="1"/>
  <c r="A930" i="7"/>
  <c r="A755" i="7"/>
  <c r="E963" i="7"/>
  <c r="G972" i="7" s="1"/>
  <c r="E1068" i="7"/>
  <c r="G1077" i="7" s="1"/>
  <c r="E998" i="7"/>
  <c r="G1007" i="7" s="1"/>
  <c r="E1103" i="7"/>
  <c r="G1112" i="7" s="1"/>
  <c r="E1033" i="7"/>
  <c r="G1042" i="7" s="1"/>
  <c r="E1138" i="7"/>
  <c r="G1147" i="7" s="1"/>
  <c r="E320" i="7"/>
  <c r="E342" i="7" s="1"/>
  <c r="C321" i="7"/>
  <c r="C286" i="7"/>
  <c r="D18" i="7"/>
  <c r="C76" i="7"/>
  <c r="E180" i="7"/>
  <c r="E202" i="7" s="1"/>
  <c r="E110" i="7"/>
  <c r="E132" i="7" s="1"/>
  <c r="C6" i="7"/>
  <c r="C216" i="7"/>
  <c r="C251" i="7"/>
  <c r="E215" i="7"/>
  <c r="E237" i="7" s="1"/>
  <c r="E355" i="7"/>
  <c r="E377" i="7" s="1"/>
  <c r="E285" i="7"/>
  <c r="E307" i="7" s="1"/>
  <c r="C111" i="7"/>
  <c r="C356" i="7"/>
  <c r="C146" i="7"/>
  <c r="E250" i="7"/>
  <c r="E272" i="7" s="1"/>
  <c r="E145" i="7"/>
  <c r="E167" i="7" s="1"/>
  <c r="C41" i="7"/>
  <c r="C181" i="7"/>
  <c r="N41" i="2"/>
  <c r="K41" i="2"/>
  <c r="U41" i="2"/>
  <c r="Q41" i="2"/>
  <c r="AF18" i="2"/>
  <c r="I543" i="7" s="1"/>
  <c r="AF34" i="2"/>
  <c r="I1103" i="7" s="1"/>
  <c r="AF23" i="2"/>
  <c r="I718" i="7" s="1"/>
  <c r="AF12" i="2"/>
  <c r="I333" i="7" s="1"/>
  <c r="AF28" i="2"/>
  <c r="I893" i="7" s="1"/>
  <c r="AF13" i="2"/>
  <c r="I368" i="7" s="1"/>
  <c r="AF29" i="2"/>
  <c r="I928" i="7" s="1"/>
  <c r="AF6" i="2"/>
  <c r="I123" i="7" s="1"/>
  <c r="AF22" i="2"/>
  <c r="I683" i="7" s="1"/>
  <c r="AF7" i="2"/>
  <c r="I158" i="7" s="1"/>
  <c r="AF31" i="2"/>
  <c r="I998" i="7" s="1"/>
  <c r="AF16" i="2"/>
  <c r="I473" i="7" s="1"/>
  <c r="AF32" i="2"/>
  <c r="I1033" i="7" s="1"/>
  <c r="AF3" i="2"/>
  <c r="I18" i="7" s="1"/>
  <c r="AF17" i="2"/>
  <c r="I508" i="7" s="1"/>
  <c r="AF33" i="2"/>
  <c r="I1068" i="7" s="1"/>
  <c r="R41" i="2"/>
  <c r="M41" i="2"/>
  <c r="S41" i="2"/>
  <c r="P41" i="2"/>
  <c r="O41" i="2"/>
  <c r="L41" i="2"/>
  <c r="L39" i="3"/>
  <c r="L40" i="3" s="1"/>
  <c r="O39" i="3"/>
  <c r="O40" i="3" s="1"/>
  <c r="P39" i="3"/>
  <c r="P40" i="3" s="1"/>
  <c r="N39" i="3"/>
  <c r="N40" i="3" s="1"/>
  <c r="J39" i="3"/>
  <c r="J40" i="3" s="1"/>
  <c r="K39" i="3"/>
  <c r="K40" i="3" s="1"/>
  <c r="M39" i="3"/>
  <c r="M40" i="3" s="1"/>
  <c r="I39" i="3"/>
  <c r="I40" i="3" s="1"/>
  <c r="G40" i="3"/>
  <c r="H39" i="3"/>
  <c r="H40" i="3" s="1"/>
  <c r="E18" i="7" l="1"/>
  <c r="G27" i="7" s="1"/>
  <c r="A20" i="7"/>
  <c r="H1026" i="7"/>
  <c r="H606" i="7"/>
  <c r="H781" i="7"/>
  <c r="H746" i="7"/>
  <c r="H711" i="7"/>
  <c r="H1131" i="7"/>
  <c r="H1096" i="7"/>
  <c r="H1061" i="7"/>
  <c r="H396" i="7"/>
  <c r="H991" i="7"/>
  <c r="H956" i="7"/>
  <c r="H921" i="7"/>
  <c r="H886" i="7"/>
  <c r="H851" i="7"/>
  <c r="H816" i="7"/>
  <c r="H676" i="7"/>
  <c r="H536" i="7"/>
  <c r="H466" i="7"/>
  <c r="H641" i="7"/>
  <c r="H571" i="7"/>
  <c r="H501" i="7"/>
  <c r="H431" i="7"/>
  <c r="H1136" i="7"/>
  <c r="H1101" i="7"/>
  <c r="H1031" i="7"/>
  <c r="H401" i="7"/>
  <c r="H856" i="7"/>
  <c r="H751" i="7"/>
  <c r="H541" i="7"/>
  <c r="H506" i="7"/>
  <c r="H1066" i="7"/>
  <c r="H996" i="7"/>
  <c r="H961" i="7"/>
  <c r="H926" i="7"/>
  <c r="H891" i="7"/>
  <c r="H821" i="7"/>
  <c r="H786" i="7"/>
  <c r="H716" i="7"/>
  <c r="H681" i="7"/>
  <c r="H646" i="7"/>
  <c r="H576" i="7"/>
  <c r="H471" i="7"/>
  <c r="H436" i="7"/>
  <c r="H611" i="7"/>
  <c r="H610" i="7"/>
  <c r="H995" i="7"/>
  <c r="H1065" i="7"/>
  <c r="H960" i="7"/>
  <c r="H925" i="7"/>
  <c r="H890" i="7"/>
  <c r="H855" i="7"/>
  <c r="H820" i="7"/>
  <c r="H680" i="7"/>
  <c r="H400" i="7"/>
  <c r="H1135" i="7"/>
  <c r="H1100" i="7"/>
  <c r="H1030" i="7"/>
  <c r="H785" i="7"/>
  <c r="H750" i="7"/>
  <c r="H715" i="7"/>
  <c r="H645" i="7"/>
  <c r="H575" i="7"/>
  <c r="H505" i="7"/>
  <c r="H435" i="7"/>
  <c r="H540" i="7"/>
  <c r="H470" i="7"/>
  <c r="H955" i="7"/>
  <c r="H920" i="7"/>
  <c r="H885" i="7"/>
  <c r="H850" i="7"/>
  <c r="H815" i="7"/>
  <c r="H780" i="7"/>
  <c r="H745" i="7"/>
  <c r="H710" i="7"/>
  <c r="H675" i="7"/>
  <c r="H640" i="7"/>
  <c r="H570" i="7"/>
  <c r="H535" i="7"/>
  <c r="H500" i="7"/>
  <c r="H465" i="7"/>
  <c r="H430" i="7"/>
  <c r="H1095" i="7"/>
  <c r="H990" i="7"/>
  <c r="H605" i="7"/>
  <c r="H1025" i="7"/>
  <c r="H395" i="7"/>
  <c r="H1130" i="7"/>
  <c r="H1060" i="7"/>
  <c r="H993" i="7"/>
  <c r="H1098" i="7"/>
  <c r="H1028" i="7"/>
  <c r="H958" i="7"/>
  <c r="H923" i="7"/>
  <c r="H888" i="7"/>
  <c r="H853" i="7"/>
  <c r="H818" i="7"/>
  <c r="H783" i="7"/>
  <c r="H748" i="7"/>
  <c r="H713" i="7"/>
  <c r="H678" i="7"/>
  <c r="H643" i="7"/>
  <c r="H573" i="7"/>
  <c r="H538" i="7"/>
  <c r="H503" i="7"/>
  <c r="H468" i="7"/>
  <c r="H433" i="7"/>
  <c r="H1133" i="7"/>
  <c r="H1063" i="7"/>
  <c r="H608" i="7"/>
  <c r="H398" i="7"/>
  <c r="H997" i="7"/>
  <c r="H612" i="7"/>
  <c r="H962" i="7"/>
  <c r="H927" i="7"/>
  <c r="H892" i="7"/>
  <c r="H857" i="7"/>
  <c r="H822" i="7"/>
  <c r="H787" i="7"/>
  <c r="H752" i="7"/>
  <c r="H717" i="7"/>
  <c r="H682" i="7"/>
  <c r="H647" i="7"/>
  <c r="H577" i="7"/>
  <c r="H542" i="7"/>
  <c r="H507" i="7"/>
  <c r="H472" i="7"/>
  <c r="H437" i="7"/>
  <c r="H1137" i="7"/>
  <c r="H1102" i="7"/>
  <c r="H1032" i="7"/>
  <c r="H1067" i="7"/>
  <c r="H402" i="7"/>
  <c r="H1132" i="7"/>
  <c r="H1062" i="7"/>
  <c r="H397" i="7"/>
  <c r="H957" i="7"/>
  <c r="H922" i="7"/>
  <c r="H887" i="7"/>
  <c r="H817" i="7"/>
  <c r="H782" i="7"/>
  <c r="H712" i="7"/>
  <c r="H677" i="7"/>
  <c r="H642" i="7"/>
  <c r="H572" i="7"/>
  <c r="H467" i="7"/>
  <c r="H432" i="7"/>
  <c r="H1027" i="7"/>
  <c r="H992" i="7"/>
  <c r="H852" i="7"/>
  <c r="H747" i="7"/>
  <c r="H537" i="7"/>
  <c r="H502" i="7"/>
  <c r="H1097" i="7"/>
  <c r="H607" i="7"/>
  <c r="H1064" i="7"/>
  <c r="H959" i="7"/>
  <c r="H924" i="7"/>
  <c r="H889" i="7"/>
  <c r="H854" i="7"/>
  <c r="H819" i="7"/>
  <c r="H784" i="7"/>
  <c r="H749" i="7"/>
  <c r="H714" i="7"/>
  <c r="H679" i="7"/>
  <c r="H644" i="7"/>
  <c r="H574" i="7"/>
  <c r="H539" i="7"/>
  <c r="H504" i="7"/>
  <c r="H469" i="7"/>
  <c r="H434" i="7"/>
  <c r="H1099" i="7"/>
  <c r="H994" i="7"/>
  <c r="H1134" i="7"/>
  <c r="H609" i="7"/>
  <c r="H399" i="7"/>
  <c r="H1029" i="7"/>
  <c r="H954" i="7"/>
  <c r="H884" i="7"/>
  <c r="H814" i="7"/>
  <c r="H744" i="7"/>
  <c r="H674" i="7"/>
  <c r="H534" i="7"/>
  <c r="H464" i="7"/>
  <c r="H1129" i="7"/>
  <c r="H1059" i="7"/>
  <c r="H989" i="7"/>
  <c r="H604" i="7"/>
  <c r="H1094" i="7"/>
  <c r="H1024" i="7"/>
  <c r="H919" i="7"/>
  <c r="H849" i="7"/>
  <c r="H779" i="7"/>
  <c r="H709" i="7"/>
  <c r="H639" i="7"/>
  <c r="H569" i="7"/>
  <c r="H499" i="7"/>
  <c r="H429" i="7"/>
  <c r="H394" i="7"/>
  <c r="H1138" i="7"/>
  <c r="H1103" i="7"/>
  <c r="H928" i="7"/>
  <c r="H858" i="7"/>
  <c r="H788" i="7"/>
  <c r="H718" i="7"/>
  <c r="H648" i="7"/>
  <c r="H578" i="7"/>
  <c r="H508" i="7"/>
  <c r="H1068" i="7"/>
  <c r="H963" i="7"/>
  <c r="H893" i="7"/>
  <c r="H823" i="7"/>
  <c r="H753" i="7"/>
  <c r="H683" i="7"/>
  <c r="H543" i="7"/>
  <c r="H473" i="7"/>
  <c r="H403" i="7"/>
  <c r="H1033" i="7"/>
  <c r="H998" i="7"/>
  <c r="H613" i="7"/>
  <c r="H438" i="7"/>
  <c r="H333" i="7"/>
  <c r="H298" i="7"/>
  <c r="H368" i="7"/>
  <c r="H263" i="7"/>
  <c r="H18" i="7"/>
  <c r="H123" i="7"/>
  <c r="H228" i="7"/>
  <c r="H88" i="7"/>
  <c r="H193" i="7"/>
  <c r="H53" i="7"/>
  <c r="H158" i="7"/>
  <c r="H324" i="7"/>
  <c r="H184" i="7"/>
  <c r="H359" i="7"/>
  <c r="H219" i="7"/>
  <c r="H79" i="7"/>
  <c r="H44" i="7"/>
  <c r="H149" i="7"/>
  <c r="H254" i="7"/>
  <c r="H114" i="7"/>
  <c r="H289" i="7"/>
  <c r="H9" i="7"/>
  <c r="H256" i="7"/>
  <c r="H116" i="7"/>
  <c r="H361" i="7"/>
  <c r="H291" i="7"/>
  <c r="H151" i="7"/>
  <c r="H81" i="7"/>
  <c r="H46" i="7"/>
  <c r="H326" i="7"/>
  <c r="H186" i="7"/>
  <c r="H221" i="7"/>
  <c r="H11" i="7"/>
  <c r="H296" i="7"/>
  <c r="H121" i="7"/>
  <c r="H261" i="7"/>
  <c r="H86" i="7"/>
  <c r="H51" i="7"/>
  <c r="H331" i="7"/>
  <c r="H156" i="7"/>
  <c r="H226" i="7"/>
  <c r="H366" i="7"/>
  <c r="H191" i="7"/>
  <c r="H16" i="7"/>
  <c r="H15" i="7"/>
  <c r="H260" i="7"/>
  <c r="H295" i="7"/>
  <c r="H330" i="7"/>
  <c r="H365" i="7"/>
  <c r="H85" i="7"/>
  <c r="H50" i="7"/>
  <c r="H190" i="7"/>
  <c r="H120" i="7"/>
  <c r="H155" i="7"/>
  <c r="H225" i="7"/>
  <c r="H360" i="7"/>
  <c r="H220" i="7"/>
  <c r="H80" i="7"/>
  <c r="H45" i="7"/>
  <c r="H255" i="7"/>
  <c r="H115" i="7"/>
  <c r="H185" i="7"/>
  <c r="H290" i="7"/>
  <c r="H150" i="7"/>
  <c r="H325" i="7"/>
  <c r="H10" i="7"/>
  <c r="H328" i="7"/>
  <c r="H188" i="7"/>
  <c r="H293" i="7"/>
  <c r="H363" i="7"/>
  <c r="H223" i="7"/>
  <c r="H83" i="7"/>
  <c r="H48" i="7"/>
  <c r="H258" i="7"/>
  <c r="H118" i="7"/>
  <c r="H153" i="7"/>
  <c r="H13" i="7"/>
  <c r="H332" i="7"/>
  <c r="H157" i="7"/>
  <c r="H367" i="7"/>
  <c r="H192" i="7"/>
  <c r="H262" i="7"/>
  <c r="H227" i="7"/>
  <c r="H87" i="7"/>
  <c r="H52" i="7"/>
  <c r="H297" i="7"/>
  <c r="H122" i="7"/>
  <c r="H17" i="7"/>
  <c r="H292" i="7"/>
  <c r="H152" i="7"/>
  <c r="H327" i="7"/>
  <c r="H187" i="7"/>
  <c r="H117" i="7"/>
  <c r="H362" i="7"/>
  <c r="H222" i="7"/>
  <c r="H82" i="7"/>
  <c r="H47" i="7"/>
  <c r="H257" i="7"/>
  <c r="H12" i="7"/>
  <c r="H364" i="7"/>
  <c r="H224" i="7"/>
  <c r="H84" i="7"/>
  <c r="H49" i="7"/>
  <c r="H259" i="7"/>
  <c r="H119" i="7"/>
  <c r="H189" i="7"/>
  <c r="H294" i="7"/>
  <c r="H154" i="7"/>
  <c r="H329" i="7"/>
  <c r="H14" i="7"/>
</calcChain>
</file>

<file path=xl/sharedStrings.xml><?xml version="1.0" encoding="utf-8"?>
<sst xmlns="http://schemas.openxmlformats.org/spreadsheetml/2006/main" count="1206" uniqueCount="213">
  <si>
    <t xml:space="preserve">Name of Student: </t>
  </si>
  <si>
    <t>Father's Name:</t>
  </si>
  <si>
    <t>Admission No.</t>
  </si>
  <si>
    <t>Class:</t>
  </si>
  <si>
    <t>Examination Roll No.</t>
  </si>
  <si>
    <t>Subjects</t>
  </si>
  <si>
    <t>Total Marks</t>
  </si>
  <si>
    <t>Marks Obtained</t>
  </si>
  <si>
    <t>Grade</t>
  </si>
  <si>
    <t>COMPARISON WITH CLASS</t>
  </si>
  <si>
    <t>Maximum Marks</t>
  </si>
  <si>
    <t>Minimum Marks</t>
  </si>
  <si>
    <t>Class Average</t>
  </si>
  <si>
    <t>Position in Class</t>
  </si>
  <si>
    <t>Overall</t>
  </si>
  <si>
    <t>Class Teacher Remarks:</t>
  </si>
  <si>
    <t>Signature of Principal:</t>
  </si>
  <si>
    <t>Roll No.</t>
  </si>
  <si>
    <t>Grade:</t>
  </si>
  <si>
    <t>Mobile Phone:</t>
  </si>
  <si>
    <t>Home Address:</t>
  </si>
  <si>
    <t>APS Hazro</t>
  </si>
  <si>
    <t>Sr.No.</t>
  </si>
  <si>
    <t>Class</t>
  </si>
  <si>
    <t>Name of Student</t>
  </si>
  <si>
    <t>Father's Name</t>
  </si>
  <si>
    <t>Contact Number</t>
  </si>
  <si>
    <t>Home Address</t>
  </si>
  <si>
    <t>Name of School</t>
  </si>
  <si>
    <t>Name of Exam</t>
  </si>
  <si>
    <t>Urdu</t>
  </si>
  <si>
    <t>English</t>
  </si>
  <si>
    <t>Islamiyat</t>
  </si>
  <si>
    <t>Maths</t>
  </si>
  <si>
    <t>Arabic</t>
  </si>
  <si>
    <t>Drawing</t>
  </si>
  <si>
    <t>Attendance</t>
  </si>
  <si>
    <t>Total</t>
  </si>
  <si>
    <r>
      <t xml:space="preserve">Total Marks </t>
    </r>
    <r>
      <rPr>
        <b/>
        <sz val="12"/>
        <color indexed="8"/>
        <rFont val="Calibri"/>
        <family val="2"/>
      </rPr>
      <t>=</t>
    </r>
    <r>
      <rPr>
        <sz val="12"/>
        <color indexed="8"/>
        <rFont val="Copperplate Gothic Bold"/>
        <family val="2"/>
      </rPr>
      <t>&gt;</t>
    </r>
  </si>
  <si>
    <t>SUM</t>
  </si>
  <si>
    <t>Average</t>
  </si>
  <si>
    <t>ANNUAL EXAM 2024</t>
  </si>
  <si>
    <t>SCHOOL:</t>
  </si>
  <si>
    <t>CLASS</t>
  </si>
  <si>
    <t>Month No.</t>
  </si>
  <si>
    <t>Month:</t>
  </si>
  <si>
    <t>7TH</t>
  </si>
  <si>
    <t>P</t>
  </si>
  <si>
    <t>Name</t>
  </si>
  <si>
    <t>D.O.B</t>
  </si>
  <si>
    <t>FATHER NAME</t>
  </si>
  <si>
    <t>FATHER CNIC</t>
  </si>
  <si>
    <t xml:space="preserve">CONTACT # </t>
  </si>
  <si>
    <t>Section</t>
  </si>
  <si>
    <t>A</t>
  </si>
  <si>
    <t>CL</t>
  </si>
  <si>
    <t>ML</t>
  </si>
  <si>
    <t>L</t>
  </si>
  <si>
    <t>E</t>
  </si>
  <si>
    <t>All</t>
  </si>
  <si>
    <t>Ali1</t>
  </si>
  <si>
    <t>Ali2</t>
  </si>
  <si>
    <t>Ali3</t>
  </si>
  <si>
    <t>Ali4</t>
  </si>
  <si>
    <t>Ali5</t>
  </si>
  <si>
    <t>Ali6</t>
  </si>
  <si>
    <t>Ali7</t>
  </si>
  <si>
    <t>Ali8</t>
  </si>
  <si>
    <t>Ali9</t>
  </si>
  <si>
    <t>Ali10</t>
  </si>
  <si>
    <t>Ali11</t>
  </si>
  <si>
    <t>Ali12</t>
  </si>
  <si>
    <t>Ali13</t>
  </si>
  <si>
    <t>Ali14</t>
  </si>
  <si>
    <t>Ali15</t>
  </si>
  <si>
    <t>Ali16</t>
  </si>
  <si>
    <t>Ali17</t>
  </si>
  <si>
    <t>Ali18</t>
  </si>
  <si>
    <t>Ali19</t>
  </si>
  <si>
    <t>Ali20</t>
  </si>
  <si>
    <t>Ali21</t>
  </si>
  <si>
    <t>Ali22</t>
  </si>
  <si>
    <t>Ali23</t>
  </si>
  <si>
    <t>Ali24</t>
  </si>
  <si>
    <t>Ali25</t>
  </si>
  <si>
    <t>Ali26</t>
  </si>
  <si>
    <t>Ali27</t>
  </si>
  <si>
    <t>Ali28</t>
  </si>
  <si>
    <t>Ali29</t>
  </si>
  <si>
    <t>Ali30</t>
  </si>
  <si>
    <t>Ali31</t>
  </si>
  <si>
    <t>Ali32</t>
  </si>
  <si>
    <t>Ali33</t>
  </si>
  <si>
    <t>Ali34</t>
  </si>
  <si>
    <t>Khan 1</t>
  </si>
  <si>
    <t>khan2</t>
  </si>
  <si>
    <t>khan3</t>
  </si>
  <si>
    <t>Khan 4</t>
  </si>
  <si>
    <t>Khan 5</t>
  </si>
  <si>
    <t>Khan 6</t>
  </si>
  <si>
    <t>Khan 7</t>
  </si>
  <si>
    <t>Khan 8</t>
  </si>
  <si>
    <t>Khan 9</t>
  </si>
  <si>
    <t>Khan 10</t>
  </si>
  <si>
    <t>Khan 11</t>
  </si>
  <si>
    <t>Khan 12</t>
  </si>
  <si>
    <t>Khan 13</t>
  </si>
  <si>
    <t>Khan 14</t>
  </si>
  <si>
    <t>Khan 15</t>
  </si>
  <si>
    <t>Khan 16</t>
  </si>
  <si>
    <t>Khan 17</t>
  </si>
  <si>
    <t>Khan 18</t>
  </si>
  <si>
    <t>Khan 19</t>
  </si>
  <si>
    <t>Khan 20</t>
  </si>
  <si>
    <t>Khan 21</t>
  </si>
  <si>
    <t>Khan 22</t>
  </si>
  <si>
    <t>Khan 23</t>
  </si>
  <si>
    <t>Khan 24</t>
  </si>
  <si>
    <t>Khan 25</t>
  </si>
  <si>
    <t>Khan 26</t>
  </si>
  <si>
    <t>Khan 27</t>
  </si>
  <si>
    <t>Khan 28</t>
  </si>
  <si>
    <t>Khan 29</t>
  </si>
  <si>
    <t>Khan 30</t>
  </si>
  <si>
    <t>Khan 31</t>
  </si>
  <si>
    <t>Monday</t>
  </si>
  <si>
    <t>Tuesday</t>
  </si>
  <si>
    <t>Wednesday</t>
  </si>
  <si>
    <t>Thursday</t>
  </si>
  <si>
    <t>Friday</t>
  </si>
  <si>
    <t>Saturday</t>
  </si>
  <si>
    <t>Sunday</t>
  </si>
  <si>
    <t>Students Information clr</t>
  </si>
  <si>
    <t>January</t>
  </si>
  <si>
    <t>Khan 32</t>
  </si>
  <si>
    <t>Khan 33</t>
  </si>
  <si>
    <t>Khan 34</t>
  </si>
  <si>
    <t>STUDENT ATTENDANCE RECORD Clr</t>
  </si>
  <si>
    <t>Marks Obtained clr</t>
  </si>
  <si>
    <t>Student Information</t>
  </si>
  <si>
    <t>Signature of Incharge:</t>
  </si>
  <si>
    <t>Signature of Guardian:</t>
  </si>
  <si>
    <t>STUDENTS FAMILY  INFORMATION</t>
  </si>
  <si>
    <t>More Occupation Detail (if any)</t>
  </si>
  <si>
    <t>Monthly Income of your father 
(In digits)</t>
  </si>
  <si>
    <t>Optional Subject-1</t>
  </si>
  <si>
    <t>Optional Subject-2</t>
  </si>
  <si>
    <t>Optional Subject-3</t>
  </si>
  <si>
    <t>One side distance of school from home in Kms:</t>
  </si>
  <si>
    <t>Mode of travelling to school:</t>
  </si>
  <si>
    <t>In which shift you want to study:  (Please tick one box)</t>
  </si>
  <si>
    <t>Which game you want to join?</t>
  </si>
  <si>
    <t>Bicycle</t>
  </si>
  <si>
    <t>Basketball</t>
  </si>
  <si>
    <t>Auto Electrician</t>
  </si>
  <si>
    <t>Droped by family</t>
  </si>
  <si>
    <t>Cricket</t>
  </si>
  <si>
    <t>Biology</t>
  </si>
  <si>
    <t>Auto Mechanic</t>
  </si>
  <si>
    <t>Hired pick and drop</t>
  </si>
  <si>
    <t>Football</t>
  </si>
  <si>
    <t>Chemistry</t>
  </si>
  <si>
    <t>Buisnessman</t>
  </si>
  <si>
    <t>Motorcycle</t>
  </si>
  <si>
    <t>Hockey</t>
  </si>
  <si>
    <t>Computer</t>
  </si>
  <si>
    <t>Carpenter</t>
  </si>
  <si>
    <t>Public transport</t>
  </si>
  <si>
    <t>Volley Ball</t>
  </si>
  <si>
    <t>Clerk</t>
  </si>
  <si>
    <t>Walk</t>
  </si>
  <si>
    <t>Electricity</t>
  </si>
  <si>
    <t>Doctor</t>
  </si>
  <si>
    <t>Metal Work</t>
  </si>
  <si>
    <t>Electrician</t>
  </si>
  <si>
    <t>Physics</t>
  </si>
  <si>
    <t>Engineer</t>
  </si>
  <si>
    <t>Wood Work</t>
  </si>
  <si>
    <t>Farmer</t>
  </si>
  <si>
    <t>Govt. Officer</t>
  </si>
  <si>
    <t>Industrialist</t>
  </si>
  <si>
    <t>Lobourer</t>
  </si>
  <si>
    <t>Machinest</t>
  </si>
  <si>
    <t>Manager</t>
  </si>
  <si>
    <t>Painter</t>
  </si>
  <si>
    <t>Police Officer</t>
  </si>
  <si>
    <t>Policeman</t>
  </si>
  <si>
    <t>Professor</t>
  </si>
  <si>
    <t>Shopkeeper</t>
  </si>
  <si>
    <t>Soldier</t>
  </si>
  <si>
    <t>Teacher</t>
  </si>
  <si>
    <t>Welder</t>
  </si>
  <si>
    <t xml:space="preserve">How many brothers you have? </t>
  </si>
  <si>
    <t>How many sistes you have?</t>
  </si>
  <si>
    <t>What is your father's occupation?</t>
  </si>
  <si>
    <t>No. of brothers /cousins attend this school</t>
  </si>
  <si>
    <t>Sr. No.</t>
  </si>
  <si>
    <t>Contact</t>
  </si>
  <si>
    <t>Pakistan Studies</t>
  </si>
  <si>
    <t>Sci./Chemistry</t>
  </si>
  <si>
    <t>Bio./Computer</t>
  </si>
  <si>
    <t>Obtained Marks</t>
  </si>
  <si>
    <t>Bio./Comp.</t>
  </si>
  <si>
    <t>Pak Studies</t>
  </si>
  <si>
    <t>Nazra</t>
  </si>
  <si>
    <t>Sci./ Che.</t>
  </si>
  <si>
    <t>Total students:</t>
  </si>
  <si>
    <t>Date:</t>
  </si>
  <si>
    <t>Rank in Class</t>
  </si>
  <si>
    <t>%age</t>
  </si>
  <si>
    <t>Whatsapp:</t>
  </si>
  <si>
    <t>This is computer gernerated student report copy, attestation not required.</t>
  </si>
  <si>
    <t>Student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</si>
</sst>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opperplate Gothic Bold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33333"/>
      <name val="Verdana"/>
      <family val="2"/>
    </font>
    <font>
      <sz val="8"/>
      <color rgb="FF333333"/>
      <name val="Verdana"/>
      <family val="2"/>
    </font>
    <font>
      <b/>
      <sz val="20"/>
      <color theme="4" tint="0.39997558519241921"/>
      <name val="Calibri"/>
      <family val="2"/>
      <scheme val="minor"/>
    </font>
    <font>
      <sz val="20"/>
      <color theme="4" tint="0.3999755851924192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36"/>
      <color theme="4"/>
      <name val="Algerian"/>
      <family val="5"/>
    </font>
    <font>
      <b/>
      <i/>
      <sz val="14"/>
      <color theme="1"/>
      <name val="Algerian"/>
      <family val="5"/>
    </font>
    <font>
      <i/>
      <sz val="16"/>
      <color theme="1"/>
      <name val="Agency FB"/>
      <family val="2"/>
    </font>
    <font>
      <sz val="12"/>
      <color theme="1"/>
      <name val="Calibri"/>
      <family val="2"/>
      <scheme val="minor"/>
    </font>
    <font>
      <b/>
      <sz val="16"/>
      <color theme="4"/>
      <name val="Algerian"/>
      <family val="5"/>
    </font>
    <font>
      <b/>
      <sz val="14"/>
      <color theme="4"/>
      <name val="Algerian"/>
      <family val="5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9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0" fontId="0" fillId="4" borderId="13" xfId="0" applyFill="1" applyBorder="1"/>
    <xf numFmtId="0" fontId="4" fillId="4" borderId="13" xfId="0" applyFont="1" applyFill="1" applyBorder="1" applyAlignment="1">
      <alignment horizontal="center"/>
    </xf>
    <xf numFmtId="0" fontId="0" fillId="4" borderId="13" xfId="0" applyFill="1" applyBorder="1" applyAlignment="1">
      <alignment shrinkToFit="1"/>
    </xf>
    <xf numFmtId="0" fontId="0" fillId="0" borderId="16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2" xfId="0" applyBorder="1" applyAlignment="1">
      <alignment horizontal="left" shrinkToFit="1"/>
    </xf>
    <xf numFmtId="0" fontId="0" fillId="0" borderId="34" xfId="0" applyBorder="1" applyAlignment="1">
      <alignment horizontal="center"/>
    </xf>
    <xf numFmtId="0" fontId="0" fillId="0" borderId="13" xfId="0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0" fillId="0" borderId="7" xfId="0" applyBorder="1" applyAlignment="1">
      <alignment horizontal="left" shrinkToFit="1"/>
    </xf>
    <xf numFmtId="0" fontId="0" fillId="0" borderId="5" xfId="0" applyBorder="1"/>
    <xf numFmtId="0" fontId="0" fillId="0" borderId="13" xfId="0" applyBorder="1"/>
    <xf numFmtId="0" fontId="0" fillId="0" borderId="16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shrinkToFit="1"/>
    </xf>
    <xf numFmtId="0" fontId="0" fillId="0" borderId="33" xfId="0" applyBorder="1" applyAlignment="1" applyProtection="1">
      <alignment horizontal="center" vertical="center" shrinkToFit="1"/>
      <protection locked="0"/>
    </xf>
    <xf numFmtId="164" fontId="14" fillId="7" borderId="13" xfId="0" applyNumberFormat="1" applyFont="1" applyFill="1" applyBorder="1" applyAlignment="1">
      <alignment horizontal="center" vertical="top" wrapText="1"/>
    </xf>
    <xf numFmtId="0" fontId="8" fillId="0" borderId="13" xfId="0" applyFont="1" applyBorder="1"/>
    <xf numFmtId="0" fontId="0" fillId="0" borderId="13" xfId="0" applyBorder="1" applyAlignment="1" applyProtection="1">
      <alignment horizontal="center" shrinkToFit="1"/>
      <protection locked="0"/>
    </xf>
    <xf numFmtId="0" fontId="0" fillId="5" borderId="13" xfId="0" applyFill="1" applyBorder="1" applyAlignment="1">
      <alignment horizontal="center" shrinkToFit="1"/>
    </xf>
    <xf numFmtId="0" fontId="1" fillId="5" borderId="13" xfId="0" applyFont="1" applyFill="1" applyBorder="1" applyAlignment="1">
      <alignment horizontal="center" shrinkToFit="1"/>
    </xf>
    <xf numFmtId="0" fontId="15" fillId="4" borderId="1" xfId="0" applyFont="1" applyFill="1" applyBorder="1" applyAlignment="1">
      <alignment horizontal="centerContinuous"/>
    </xf>
    <xf numFmtId="0" fontId="16" fillId="4" borderId="0" xfId="0" applyFont="1" applyFill="1" applyAlignment="1">
      <alignment horizontal="centerContinuous" shrinkToFit="1"/>
    </xf>
    <xf numFmtId="164" fontId="4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right" vertical="center"/>
    </xf>
    <xf numFmtId="0" fontId="5" fillId="8" borderId="13" xfId="0" applyFont="1" applyFill="1" applyBorder="1" applyAlignment="1" applyProtection="1">
      <alignment horizontal="left" vertical="center"/>
      <protection locked="0"/>
    </xf>
    <xf numFmtId="0" fontId="0" fillId="8" borderId="13" xfId="0" applyFill="1" applyBorder="1" applyAlignment="1">
      <alignment horizontal="center" shrinkToFit="1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33" xfId="0" applyFill="1" applyBorder="1" applyAlignment="1">
      <alignment horizontal="left"/>
    </xf>
    <xf numFmtId="0" fontId="0" fillId="10" borderId="12" xfId="0" applyFill="1" applyBorder="1" applyAlignment="1">
      <alignment horizontal="left" shrinkToFit="1"/>
    </xf>
    <xf numFmtId="0" fontId="0" fillId="10" borderId="31" xfId="0" applyFill="1" applyBorder="1" applyAlignment="1">
      <alignment horizontal="right" shrinkToFit="1"/>
    </xf>
    <xf numFmtId="0" fontId="0" fillId="10" borderId="7" xfId="0" applyFill="1" applyBorder="1" applyAlignment="1">
      <alignment horizontal="center" shrinkToFit="1"/>
    </xf>
    <xf numFmtId="0" fontId="0" fillId="10" borderId="5" xfId="0" applyFill="1" applyBorder="1" applyAlignment="1">
      <alignment horizontal="center" shrinkToFit="1"/>
    </xf>
    <xf numFmtId="0" fontId="4" fillId="10" borderId="5" xfId="0" applyFont="1" applyFill="1" applyBorder="1" applyAlignment="1">
      <alignment horizontal="center" shrinkToFit="1"/>
    </xf>
    <xf numFmtId="0" fontId="0" fillId="10" borderId="30" xfId="0" applyFill="1" applyBorder="1" applyAlignment="1">
      <alignment horizontal="left" shrinkToFit="1"/>
    </xf>
    <xf numFmtId="0" fontId="0" fillId="10" borderId="31" xfId="0" applyFill="1" applyBorder="1" applyAlignment="1">
      <alignment horizontal="left" shrinkToFit="1"/>
    </xf>
    <xf numFmtId="0" fontId="0" fillId="10" borderId="5" xfId="0" applyFill="1" applyBorder="1" applyAlignment="1">
      <alignment shrinkToFit="1"/>
    </xf>
    <xf numFmtId="0" fontId="3" fillId="9" borderId="32" xfId="0" applyFont="1" applyFill="1" applyBorder="1" applyAlignment="1">
      <alignment shrinkToFit="1"/>
    </xf>
    <xf numFmtId="0" fontId="3" fillId="9" borderId="32" xfId="0" applyFont="1" applyFill="1" applyBorder="1" applyAlignment="1">
      <alignment horizontal="center" shrinkToFit="1"/>
    </xf>
    <xf numFmtId="0" fontId="3" fillId="9" borderId="14" xfId="0" applyFont="1" applyFill="1" applyBorder="1" applyAlignment="1">
      <alignment horizontal="center" shrinkToFit="1"/>
    </xf>
    <xf numFmtId="0" fontId="18" fillId="0" borderId="0" xfId="0" applyFont="1" applyAlignment="1">
      <alignment horizontal="center"/>
    </xf>
    <xf numFmtId="0" fontId="0" fillId="0" borderId="39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3" xfId="0" applyFill="1" applyBorder="1"/>
    <xf numFmtId="0" fontId="0" fillId="3" borderId="34" xfId="0" applyFill="1" applyBorder="1"/>
    <xf numFmtId="0" fontId="0" fillId="0" borderId="34" xfId="0" applyBorder="1"/>
    <xf numFmtId="0" fontId="0" fillId="3" borderId="13" xfId="0" applyFill="1" applyBorder="1"/>
    <xf numFmtId="0" fontId="3" fillId="8" borderId="0" xfId="0" applyFont="1" applyFill="1" applyAlignment="1">
      <alignment horizontal="center"/>
    </xf>
    <xf numFmtId="0" fontId="0" fillId="10" borderId="5" xfId="0" applyFill="1" applyBorder="1" applyAlignment="1">
      <alignment wrapText="1" shrinkToFit="1"/>
    </xf>
    <xf numFmtId="0" fontId="6" fillId="12" borderId="0" xfId="0" applyFont="1" applyFill="1" applyAlignment="1">
      <alignment horizontal="centerContinuous"/>
    </xf>
    <xf numFmtId="0" fontId="0" fillId="9" borderId="19" xfId="0" applyFill="1" applyBorder="1"/>
    <xf numFmtId="0" fontId="0" fillId="9" borderId="40" xfId="0" applyFill="1" applyBorder="1"/>
    <xf numFmtId="0" fontId="0" fillId="9" borderId="22" xfId="0" applyFill="1" applyBorder="1"/>
    <xf numFmtId="0" fontId="0" fillId="12" borderId="20" xfId="0" applyFill="1" applyBorder="1"/>
    <xf numFmtId="0" fontId="0" fillId="12" borderId="21" xfId="0" applyFill="1" applyBorder="1"/>
    <xf numFmtId="0" fontId="0" fillId="12" borderId="0" xfId="0" applyFill="1"/>
    <xf numFmtId="0" fontId="0" fillId="12" borderId="41" xfId="0" applyFill="1" applyBorder="1"/>
    <xf numFmtId="0" fontId="0" fillId="12" borderId="3" xfId="0" applyFill="1" applyBorder="1"/>
    <xf numFmtId="0" fontId="0" fillId="12" borderId="23" xfId="0" applyFill="1" applyBorder="1"/>
    <xf numFmtId="165" fontId="0" fillId="0" borderId="17" xfId="0" applyNumberFormat="1" applyBorder="1"/>
    <xf numFmtId="0" fontId="2" fillId="12" borderId="27" xfId="0" applyFont="1" applyFill="1" applyBorder="1" applyAlignment="1">
      <alignment horizontal="centerContinuous" shrinkToFit="1"/>
    </xf>
    <xf numFmtId="0" fontId="2" fillId="12" borderId="57" xfId="0" applyFont="1" applyFill="1" applyBorder="1" applyAlignment="1">
      <alignment horizontal="centerContinuous" shrinkToFit="1"/>
    </xf>
    <xf numFmtId="0" fontId="21" fillId="13" borderId="42" xfId="0" applyFont="1" applyFill="1" applyBorder="1" applyAlignment="1">
      <alignment shrinkToFit="1"/>
    </xf>
    <xf numFmtId="0" fontId="21" fillId="13" borderId="54" xfId="0" applyFont="1" applyFill="1" applyBorder="1" applyAlignment="1">
      <alignment horizontal="center" shrinkToFit="1"/>
    </xf>
    <xf numFmtId="0" fontId="21" fillId="13" borderId="52" xfId="0" applyFont="1" applyFill="1" applyBorder="1" applyAlignment="1">
      <alignment horizontal="center" shrinkToFit="1"/>
    </xf>
    <xf numFmtId="10" fontId="21" fillId="13" borderId="53" xfId="0" applyNumberFormat="1" applyFont="1" applyFill="1" applyBorder="1" applyAlignment="1">
      <alignment horizontal="center" shrinkToFit="1"/>
    </xf>
    <xf numFmtId="0" fontId="20" fillId="13" borderId="42" xfId="0" applyFont="1" applyFill="1" applyBorder="1" applyAlignment="1">
      <alignment horizontal="center" vertical="center" shrinkToFit="1"/>
    </xf>
    <xf numFmtId="2" fontId="21" fillId="13" borderId="53" xfId="0" applyNumberFormat="1" applyFont="1" applyFill="1" applyBorder="1" applyAlignment="1">
      <alignment horizontal="center" shrinkToFit="1"/>
    </xf>
    <xf numFmtId="0" fontId="21" fillId="13" borderId="42" xfId="0" applyFont="1" applyFill="1" applyBorder="1" applyAlignment="1">
      <alignment horizontal="center" shrinkToFit="1"/>
    </xf>
    <xf numFmtId="0" fontId="20" fillId="13" borderId="47" xfId="0" applyFont="1" applyFill="1" applyBorder="1" applyAlignment="1">
      <alignment horizontal="center" shrinkToFit="1"/>
    </xf>
    <xf numFmtId="0" fontId="20" fillId="13" borderId="49" xfId="0" applyFont="1" applyFill="1" applyBorder="1" applyAlignment="1">
      <alignment horizontal="center" shrinkToFit="1"/>
    </xf>
    <xf numFmtId="0" fontId="20" fillId="13" borderId="51" xfId="0" applyFont="1" applyFill="1" applyBorder="1" applyAlignment="1">
      <alignment horizontal="center" shrinkToFit="1"/>
    </xf>
    <xf numFmtId="0" fontId="20" fillId="12" borderId="47" xfId="0" applyFont="1" applyFill="1" applyBorder="1" applyAlignment="1">
      <alignment horizontal="center" vertical="center" shrinkToFit="1"/>
    </xf>
    <xf numFmtId="0" fontId="20" fillId="12" borderId="45" xfId="0" applyFont="1" applyFill="1" applyBorder="1" applyAlignment="1">
      <alignment horizontal="center" vertical="center" shrinkToFit="1"/>
    </xf>
    <xf numFmtId="0" fontId="23" fillId="0" borderId="0" xfId="0" applyFont="1"/>
    <xf numFmtId="2" fontId="23" fillId="0" borderId="0" xfId="0" applyNumberFormat="1" applyFont="1"/>
    <xf numFmtId="0" fontId="23" fillId="0" borderId="41" xfId="0" applyFont="1" applyBorder="1"/>
    <xf numFmtId="0" fontId="23" fillId="0" borderId="40" xfId="0" applyFont="1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fill"/>
    </xf>
    <xf numFmtId="0" fontId="24" fillId="0" borderId="40" xfId="0" applyFont="1" applyBorder="1"/>
    <xf numFmtId="0" fontId="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shrinkToFit="1"/>
    </xf>
    <xf numFmtId="0" fontId="22" fillId="0" borderId="40" xfId="0" applyFont="1" applyBorder="1" applyAlignment="1">
      <alignment horizontal="left"/>
    </xf>
    <xf numFmtId="0" fontId="25" fillId="0" borderId="1" xfId="0" applyFont="1" applyBorder="1" applyAlignment="1">
      <alignment horizontal="center" shrinkToFit="1"/>
    </xf>
    <xf numFmtId="0" fontId="23" fillId="0" borderId="0" xfId="0" applyFont="1" applyAlignment="1">
      <alignment shrinkToFit="1"/>
    </xf>
    <xf numFmtId="0" fontId="25" fillId="0" borderId="0" xfId="0" applyFont="1" applyAlignment="1">
      <alignment horizontal="center" shrinkToFit="1"/>
    </xf>
    <xf numFmtId="0" fontId="23" fillId="0" borderId="0" xfId="0" applyFont="1" applyAlignment="1">
      <alignment horizontal="left" shrinkToFit="1"/>
    </xf>
    <xf numFmtId="2" fontId="23" fillId="0" borderId="0" xfId="0" applyNumberFormat="1" applyFont="1" applyAlignment="1">
      <alignment shrinkToFit="1"/>
    </xf>
    <xf numFmtId="0" fontId="23" fillId="0" borderId="41" xfId="0" applyFont="1" applyBorder="1" applyAlignment="1">
      <alignment horizontal="left" shrinkToFit="1"/>
    </xf>
    <xf numFmtId="0" fontId="25" fillId="0" borderId="1" xfId="0" applyFont="1" applyBorder="1" applyAlignment="1">
      <alignment horizontal="centerContinuous" shrinkToFit="1"/>
    </xf>
    <xf numFmtId="0" fontId="19" fillId="0" borderId="5" xfId="0" applyFont="1" applyBorder="1" applyAlignment="1">
      <alignment horizontal="center" shrinkToFit="1"/>
    </xf>
    <xf numFmtId="0" fontId="27" fillId="0" borderId="11" xfId="0" applyFont="1" applyBorder="1" applyAlignment="1">
      <alignment horizontal="center" shrinkToFit="1"/>
    </xf>
    <xf numFmtId="0" fontId="27" fillId="0" borderId="5" xfId="0" applyFont="1" applyBorder="1" applyAlignment="1">
      <alignment horizontal="center" shrinkToFit="1"/>
    </xf>
    <xf numFmtId="0" fontId="19" fillId="0" borderId="13" xfId="0" applyFont="1" applyBorder="1" applyAlignment="1">
      <alignment horizontal="center" shrinkToFit="1"/>
    </xf>
    <xf numFmtId="0" fontId="27" fillId="0" borderId="15" xfId="0" applyFont="1" applyBorder="1" applyAlignment="1">
      <alignment horizontal="center" shrinkToFit="1"/>
    </xf>
    <xf numFmtId="0" fontId="27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9" fillId="0" borderId="11" xfId="0" applyFont="1" applyBorder="1" applyAlignment="1">
      <alignment horizontal="center" shrinkToFit="1"/>
    </xf>
    <xf numFmtId="10" fontId="19" fillId="0" borderId="30" xfId="0" applyNumberFormat="1" applyFont="1" applyBorder="1" applyAlignment="1">
      <alignment horizontal="center" shrinkToFit="1"/>
    </xf>
    <xf numFmtId="2" fontId="27" fillId="0" borderId="30" xfId="0" applyNumberFormat="1" applyFont="1" applyBorder="1" applyAlignment="1">
      <alignment horizontal="center" shrinkToFit="1"/>
    </xf>
    <xf numFmtId="0" fontId="19" fillId="0" borderId="15" xfId="0" applyFont="1" applyBorder="1" applyAlignment="1">
      <alignment horizontal="center" shrinkToFit="1"/>
    </xf>
    <xf numFmtId="10" fontId="19" fillId="0" borderId="33" xfId="0" applyNumberFormat="1" applyFont="1" applyBorder="1" applyAlignment="1">
      <alignment horizontal="center" shrinkToFit="1"/>
    </xf>
    <xf numFmtId="2" fontId="27" fillId="0" borderId="33" xfId="0" applyNumberFormat="1" applyFont="1" applyBorder="1" applyAlignment="1">
      <alignment horizontal="center" shrinkToFit="1"/>
    </xf>
    <xf numFmtId="0" fontId="19" fillId="0" borderId="50" xfId="0" applyFont="1" applyBorder="1" applyAlignment="1">
      <alignment horizontal="center" shrinkToFit="1"/>
    </xf>
    <xf numFmtId="0" fontId="19" fillId="0" borderId="8" xfId="0" applyFont="1" applyBorder="1" applyAlignment="1">
      <alignment horizontal="center" shrinkToFit="1"/>
    </xf>
    <xf numFmtId="10" fontId="19" fillId="0" borderId="48" xfId="0" applyNumberFormat="1" applyFont="1" applyBorder="1" applyAlignment="1">
      <alignment horizontal="center" shrinkToFit="1"/>
    </xf>
    <xf numFmtId="0" fontId="27" fillId="0" borderId="50" xfId="0" applyFont="1" applyBorder="1" applyAlignment="1">
      <alignment horizontal="center" shrinkToFit="1"/>
    </xf>
    <xf numFmtId="0" fontId="27" fillId="0" borderId="8" xfId="0" applyFont="1" applyBorder="1" applyAlignment="1">
      <alignment horizontal="center" shrinkToFit="1"/>
    </xf>
    <xf numFmtId="2" fontId="27" fillId="0" borderId="48" xfId="0" applyNumberFormat="1" applyFont="1" applyBorder="1" applyAlignment="1">
      <alignment horizontal="center" shrinkToFit="1"/>
    </xf>
    <xf numFmtId="0" fontId="26" fillId="8" borderId="47" xfId="0" applyFont="1" applyFill="1" applyBorder="1" applyAlignment="1">
      <alignment shrinkToFit="1"/>
    </xf>
    <xf numFmtId="0" fontId="26" fillId="8" borderId="49" xfId="0" applyFont="1" applyFill="1" applyBorder="1" applyAlignment="1">
      <alignment shrinkToFit="1"/>
    </xf>
    <xf numFmtId="0" fontId="26" fillId="8" borderId="51" xfId="0" applyFont="1" applyFill="1" applyBorder="1" applyAlignment="1">
      <alignment shrinkToFit="1"/>
    </xf>
    <xf numFmtId="0" fontId="22" fillId="0" borderId="0" xfId="0" applyFont="1" applyAlignment="1">
      <alignment horizontal="fill"/>
    </xf>
    <xf numFmtId="0" fontId="2" fillId="0" borderId="40" xfId="0" applyFont="1" applyBorder="1" applyAlignment="1">
      <alignment horizontal="centerContinuous" shrinkToFit="1"/>
    </xf>
    <xf numFmtId="0" fontId="2" fillId="0" borderId="0" xfId="0" applyFont="1" applyAlignment="1">
      <alignment horizontal="centerContinuous" shrinkToFit="1"/>
    </xf>
    <xf numFmtId="0" fontId="2" fillId="0" borderId="41" xfId="0" applyFont="1" applyBorder="1" applyAlignment="1">
      <alignment horizontal="centerContinuous" shrinkToFit="1"/>
    </xf>
    <xf numFmtId="0" fontId="26" fillId="8" borderId="10" xfId="0" applyFont="1" applyFill="1" applyBorder="1" applyAlignment="1">
      <alignment horizontal="center" wrapText="1"/>
    </xf>
    <xf numFmtId="0" fontId="26" fillId="8" borderId="8" xfId="0" applyFont="1" applyFill="1" applyBorder="1" applyAlignment="1">
      <alignment horizontal="center" wrapText="1"/>
    </xf>
    <xf numFmtId="2" fontId="26" fillId="8" borderId="48" xfId="0" applyNumberFormat="1" applyFont="1" applyFill="1" applyBorder="1" applyAlignment="1">
      <alignment horizontal="center" wrapText="1"/>
    </xf>
    <xf numFmtId="0" fontId="26" fillId="8" borderId="45" xfId="0" applyFont="1" applyFill="1" applyBorder="1" applyAlignment="1">
      <alignment horizontal="center" wrapText="1"/>
    </xf>
    <xf numFmtId="0" fontId="29" fillId="12" borderId="26" xfId="0" applyFont="1" applyFill="1" applyBorder="1" applyAlignment="1">
      <alignment horizontal="centerContinuous" vertical="center" shrinkToFit="1"/>
    </xf>
    <xf numFmtId="0" fontId="2" fillId="0" borderId="40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2" fillId="0" borderId="41" xfId="0" applyFont="1" applyBorder="1" applyAlignment="1">
      <alignment horizontal="center" shrinkToFit="1"/>
    </xf>
    <xf numFmtId="0" fontId="22" fillId="0" borderId="20" xfId="0" applyFont="1" applyBorder="1"/>
    <xf numFmtId="0" fontId="22" fillId="0" borderId="0" xfId="0" applyFont="1"/>
    <xf numFmtId="0" fontId="0" fillId="15" borderId="13" xfId="0" applyFill="1" applyBorder="1" applyAlignment="1">
      <alignment horizontal="center"/>
    </xf>
    <xf numFmtId="0" fontId="0" fillId="15" borderId="13" xfId="0" applyFill="1" applyBorder="1"/>
    <xf numFmtId="0" fontId="0" fillId="15" borderId="8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164" fontId="0" fillId="17" borderId="0" xfId="0" applyNumberFormat="1" applyFill="1"/>
    <xf numFmtId="164" fontId="0" fillId="17" borderId="0" xfId="0" applyNumberFormat="1" applyFill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6" borderId="13" xfId="0" applyFill="1" applyBorder="1"/>
    <xf numFmtId="0" fontId="31" fillId="8" borderId="13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3" fillId="7" borderId="13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Continuous"/>
    </xf>
    <xf numFmtId="0" fontId="17" fillId="10" borderId="1" xfId="0" applyFont="1" applyFill="1" applyBorder="1" applyAlignment="1">
      <alignment horizontal="centerContinuous" shrinkToFit="1"/>
    </xf>
    <xf numFmtId="0" fontId="0" fillId="10" borderId="0" xfId="0" applyFill="1"/>
    <xf numFmtId="0" fontId="32" fillId="10" borderId="1" xfId="0" applyFont="1" applyFill="1" applyBorder="1" applyAlignment="1">
      <alignment horizontal="center"/>
    </xf>
    <xf numFmtId="164" fontId="33" fillId="10" borderId="1" xfId="0" applyNumberFormat="1" applyFont="1" applyFill="1" applyBorder="1" applyAlignment="1">
      <alignment horizontal="centerContinuous" shrinkToFit="1"/>
    </xf>
    <xf numFmtId="0" fontId="5" fillId="0" borderId="13" xfId="0" applyFont="1" applyBorder="1" applyAlignment="1" applyProtection="1">
      <alignment horizontal="center" vertical="center" shrinkToFit="1"/>
      <protection locked="0"/>
    </xf>
    <xf numFmtId="0" fontId="2" fillId="6" borderId="40" xfId="0" applyFont="1" applyFill="1" applyBorder="1" applyAlignment="1">
      <alignment horizontal="centerContinuous" shrinkToFit="1"/>
    </xf>
    <xf numFmtId="0" fontId="2" fillId="6" borderId="0" xfId="0" applyFont="1" applyFill="1" applyAlignment="1">
      <alignment horizontal="centerContinuous" shrinkToFit="1"/>
    </xf>
    <xf numFmtId="0" fontId="2" fillId="6" borderId="41" xfId="0" applyFont="1" applyFill="1" applyBorder="1" applyAlignment="1">
      <alignment horizontal="centerContinuous" shrinkToFit="1"/>
    </xf>
    <xf numFmtId="0" fontId="25" fillId="6" borderId="1" xfId="0" applyFont="1" applyFill="1" applyBorder="1" applyAlignment="1">
      <alignment horizontal="centerContinuous" shrinkToFit="1"/>
    </xf>
    <xf numFmtId="0" fontId="25" fillId="6" borderId="1" xfId="0" applyFont="1" applyFill="1" applyBorder="1" applyAlignment="1">
      <alignment horizontal="center" shrinkToFit="1"/>
    </xf>
    <xf numFmtId="0" fontId="23" fillId="6" borderId="0" xfId="0" applyFont="1" applyFill="1" applyAlignment="1">
      <alignment shrinkToFit="1"/>
    </xf>
    <xf numFmtId="0" fontId="25" fillId="6" borderId="0" xfId="0" applyFont="1" applyFill="1" applyAlignment="1">
      <alignment horizontal="center" shrinkToFit="1"/>
    </xf>
    <xf numFmtId="0" fontId="23" fillId="6" borderId="0" xfId="0" applyFont="1" applyFill="1" applyAlignment="1">
      <alignment horizontal="left" shrinkToFit="1"/>
    </xf>
    <xf numFmtId="2" fontId="23" fillId="6" borderId="0" xfId="0" applyNumberFormat="1" applyFont="1" applyFill="1" applyAlignment="1">
      <alignment shrinkToFit="1"/>
    </xf>
    <xf numFmtId="0" fontId="23" fillId="6" borderId="41" xfId="0" applyFont="1" applyFill="1" applyBorder="1" applyAlignment="1">
      <alignment horizontal="left" shrinkToFit="1"/>
    </xf>
    <xf numFmtId="0" fontId="23" fillId="6" borderId="40" xfId="0" applyFont="1" applyFill="1" applyBorder="1"/>
    <xf numFmtId="0" fontId="23" fillId="6" borderId="0" xfId="0" applyFont="1" applyFill="1" applyAlignment="1">
      <alignment horizontal="center"/>
    </xf>
    <xf numFmtId="0" fontId="23" fillId="6" borderId="0" xfId="0" applyFont="1" applyFill="1"/>
    <xf numFmtId="2" fontId="23" fillId="6" borderId="0" xfId="0" applyNumberFormat="1" applyFont="1" applyFill="1"/>
    <xf numFmtId="0" fontId="23" fillId="6" borderId="41" xfId="0" applyFont="1" applyFill="1" applyBorder="1"/>
    <xf numFmtId="0" fontId="2" fillId="6" borderId="0" xfId="0" applyFont="1" applyFill="1" applyAlignment="1">
      <alignment horizontal="center"/>
    </xf>
    <xf numFmtId="0" fontId="22" fillId="6" borderId="0" xfId="0" applyFont="1" applyFill="1" applyAlignment="1">
      <alignment horizontal="left"/>
    </xf>
    <xf numFmtId="0" fontId="24" fillId="6" borderId="40" xfId="0" applyFont="1" applyFill="1" applyBorder="1"/>
    <xf numFmtId="0" fontId="24" fillId="6" borderId="1" xfId="0" applyFont="1" applyFill="1" applyBorder="1" applyAlignment="1">
      <alignment horizontal="center"/>
    </xf>
    <xf numFmtId="0" fontId="22" fillId="6" borderId="0" xfId="0" applyFont="1" applyFill="1" applyAlignment="1">
      <alignment shrinkToFit="1"/>
    </xf>
    <xf numFmtId="0" fontId="23" fillId="6" borderId="0" xfId="0" applyFont="1" applyFill="1" applyAlignment="1">
      <alignment horizontal="fill"/>
    </xf>
    <xf numFmtId="0" fontId="22" fillId="6" borderId="0" xfId="0" applyFont="1" applyFill="1" applyAlignment="1">
      <alignment horizontal="fill"/>
    </xf>
    <xf numFmtId="0" fontId="22" fillId="0" borderId="40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58" xfId="0" applyFont="1" applyBorder="1" applyAlignment="1">
      <alignment horizontal="left"/>
    </xf>
    <xf numFmtId="0" fontId="22" fillId="0" borderId="59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58" xfId="0" applyFont="1" applyBorder="1" applyAlignment="1">
      <alignment horizontal="left"/>
    </xf>
    <xf numFmtId="0" fontId="22" fillId="0" borderId="60" xfId="0" applyFont="1" applyBorder="1" applyAlignment="1">
      <alignment horizontal="left"/>
    </xf>
    <xf numFmtId="0" fontId="22" fillId="0" borderId="25" xfId="0" applyFont="1" applyBorder="1" applyAlignment="1">
      <alignment horizontal="left"/>
    </xf>
    <xf numFmtId="0" fontId="22" fillId="0" borderId="61" xfId="0" applyFont="1" applyBorder="1" applyAlignment="1">
      <alignment horizontal="left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13" borderId="1" xfId="0" applyFont="1" applyFill="1" applyBorder="1" applyAlignment="1">
      <alignment horizontal="left"/>
    </xf>
    <xf numFmtId="0" fontId="23" fillId="13" borderId="58" xfId="0" applyFont="1" applyFill="1" applyBorder="1" applyAlignment="1">
      <alignment horizontal="left"/>
    </xf>
    <xf numFmtId="0" fontId="22" fillId="14" borderId="40" xfId="0" applyFont="1" applyFill="1" applyBorder="1" applyAlignment="1">
      <alignment horizontal="left" vertical="center"/>
    </xf>
    <xf numFmtId="0" fontId="22" fillId="14" borderId="0" xfId="0" applyFont="1" applyFill="1" applyAlignment="1">
      <alignment horizontal="left" vertical="center"/>
    </xf>
    <xf numFmtId="0" fontId="22" fillId="14" borderId="41" xfId="0" applyFont="1" applyFill="1" applyBorder="1" applyAlignment="1">
      <alignment horizontal="left" vertical="center"/>
    </xf>
    <xf numFmtId="0" fontId="22" fillId="14" borderId="22" xfId="0" applyFont="1" applyFill="1" applyBorder="1" applyAlignment="1">
      <alignment horizontal="left" vertical="center"/>
    </xf>
    <xf numFmtId="0" fontId="22" fillId="14" borderId="3" xfId="0" applyFont="1" applyFill="1" applyBorder="1" applyAlignment="1">
      <alignment horizontal="left" vertical="center"/>
    </xf>
    <xf numFmtId="0" fontId="22" fillId="14" borderId="23" xfId="0" applyFont="1" applyFill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23" fillId="13" borderId="24" xfId="0" applyFont="1" applyFill="1" applyBorder="1" applyAlignment="1">
      <alignment horizontal="left"/>
    </xf>
    <xf numFmtId="0" fontId="23" fillId="13" borderId="29" xfId="0" applyFont="1" applyFill="1" applyBorder="1" applyAlignment="1">
      <alignment horizontal="left"/>
    </xf>
    <xf numFmtId="0" fontId="23" fillId="13" borderId="2" xfId="0" applyFont="1" applyFill="1" applyBorder="1" applyAlignment="1">
      <alignment horizontal="left"/>
    </xf>
    <xf numFmtId="0" fontId="23" fillId="13" borderId="32" xfId="0" applyFont="1" applyFill="1" applyBorder="1" applyAlignment="1">
      <alignment horizontal="left"/>
    </xf>
    <xf numFmtId="0" fontId="23" fillId="0" borderId="0" xfId="0" applyFont="1" applyAlignment="1">
      <alignment horizontal="center" shrinkToFit="1"/>
    </xf>
    <xf numFmtId="0" fontId="23" fillId="0" borderId="41" xfId="0" applyFont="1" applyBorder="1" applyAlignment="1">
      <alignment horizontal="center" shrinkToFit="1"/>
    </xf>
    <xf numFmtId="0" fontId="24" fillId="0" borderId="2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5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" fontId="22" fillId="0" borderId="32" xfId="0" applyNumberFormat="1" applyFont="1" applyBorder="1" applyAlignment="1">
      <alignment horizontal="center"/>
    </xf>
    <xf numFmtId="0" fontId="24" fillId="0" borderId="40" xfId="0" applyFont="1" applyBorder="1" applyAlignment="1">
      <alignment horizontal="left" shrinkToFit="1"/>
    </xf>
    <xf numFmtId="0" fontId="24" fillId="0" borderId="0" xfId="0" applyFont="1" applyAlignment="1">
      <alignment horizontal="left" shrinkToFit="1"/>
    </xf>
    <xf numFmtId="0" fontId="24" fillId="0" borderId="1" xfId="0" applyFont="1" applyBorder="1" applyAlignment="1">
      <alignment horizontal="center" shrinkToFit="1"/>
    </xf>
    <xf numFmtId="0" fontId="24" fillId="0" borderId="58" xfId="0" applyFont="1" applyBorder="1" applyAlignment="1">
      <alignment horizontal="center" shrinkToFit="1"/>
    </xf>
    <xf numFmtId="0" fontId="24" fillId="0" borderId="2" xfId="0" applyFont="1" applyBorder="1" applyAlignment="1">
      <alignment horizontal="center" shrinkToFit="1"/>
    </xf>
    <xf numFmtId="0" fontId="24" fillId="0" borderId="32" xfId="0" applyFont="1" applyBorder="1" applyAlignment="1">
      <alignment horizontal="center" shrinkToFit="1"/>
    </xf>
    <xf numFmtId="0" fontId="24" fillId="0" borderId="22" xfId="0" applyFont="1" applyBorder="1" applyAlignment="1">
      <alignment horizontal="left" shrinkToFit="1"/>
    </xf>
    <xf numFmtId="0" fontId="24" fillId="0" borderId="3" xfId="0" applyFont="1" applyBorder="1" applyAlignment="1">
      <alignment horizontal="left" shrinkToFit="1"/>
    </xf>
    <xf numFmtId="0" fontId="20" fillId="8" borderId="45" xfId="0" applyFont="1" applyFill="1" applyBorder="1" applyAlignment="1">
      <alignment horizontal="center" vertical="center" wrapText="1"/>
    </xf>
    <xf numFmtId="0" fontId="20" fillId="8" borderId="46" xfId="0" applyFont="1" applyFill="1" applyBorder="1" applyAlignment="1">
      <alignment horizontal="center" vertical="center" wrapText="1"/>
    </xf>
    <xf numFmtId="0" fontId="19" fillId="8" borderId="55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 wrapText="1"/>
    </xf>
    <xf numFmtId="0" fontId="19" fillId="8" borderId="43" xfId="0" applyFont="1" applyFill="1" applyBorder="1" applyAlignment="1">
      <alignment horizontal="center" vertical="center" wrapText="1"/>
    </xf>
    <xf numFmtId="0" fontId="19" fillId="8" borderId="44" xfId="0" applyFont="1" applyFill="1" applyBorder="1" applyAlignment="1">
      <alignment horizontal="center" vertical="center" wrapText="1"/>
    </xf>
    <xf numFmtId="0" fontId="20" fillId="8" borderId="28" xfId="0" applyFont="1" applyFill="1" applyBorder="1" applyAlignment="1">
      <alignment horizontal="center" wrapText="1"/>
    </xf>
    <xf numFmtId="0" fontId="20" fillId="8" borderId="24" xfId="0" applyFont="1" applyFill="1" applyBorder="1" applyAlignment="1">
      <alignment horizontal="center" wrapText="1"/>
    </xf>
    <xf numFmtId="0" fontId="20" fillId="8" borderId="21" xfId="0" applyFont="1" applyFill="1" applyBorder="1" applyAlignment="1">
      <alignment horizontal="center" wrapText="1"/>
    </xf>
    <xf numFmtId="0" fontId="28" fillId="13" borderId="26" xfId="0" applyFont="1" applyFill="1" applyBorder="1" applyAlignment="1">
      <alignment horizontal="center" vertical="center" shrinkToFit="1"/>
    </xf>
    <xf numFmtId="0" fontId="28" fillId="13" borderId="27" xfId="0" applyFont="1" applyFill="1" applyBorder="1" applyAlignment="1">
      <alignment horizontal="center" vertical="center" shrinkToFit="1"/>
    </xf>
    <xf numFmtId="0" fontId="28" fillId="13" borderId="57" xfId="0" applyFont="1" applyFill="1" applyBorder="1" applyAlignment="1">
      <alignment horizontal="center" vertical="center" shrinkToFi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0" fontId="19" fillId="8" borderId="35" xfId="0" applyFont="1" applyFill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wrapText="1"/>
    </xf>
    <xf numFmtId="0" fontId="20" fillId="8" borderId="20" xfId="0" applyFont="1" applyFill="1" applyBorder="1" applyAlignment="1">
      <alignment horizontal="center" wrapText="1"/>
    </xf>
    <xf numFmtId="0" fontId="29" fillId="12" borderId="26" xfId="0" applyFont="1" applyFill="1" applyBorder="1" applyAlignment="1">
      <alignment horizontal="center" vertical="center" shrinkToFit="1"/>
    </xf>
    <xf numFmtId="0" fontId="29" fillId="12" borderId="27" xfId="0" applyFont="1" applyFill="1" applyBorder="1" applyAlignment="1">
      <alignment horizontal="center" vertical="center" shrinkToFit="1"/>
    </xf>
    <xf numFmtId="0" fontId="29" fillId="12" borderId="57" xfId="0" applyFont="1" applyFill="1" applyBorder="1" applyAlignment="1">
      <alignment horizontal="center" vertical="center" shrinkToFit="1"/>
    </xf>
    <xf numFmtId="0" fontId="24" fillId="6" borderId="40" xfId="0" applyFont="1" applyFill="1" applyBorder="1" applyAlignment="1">
      <alignment horizontal="left" shrinkToFit="1"/>
    </xf>
    <xf numFmtId="0" fontId="24" fillId="6" borderId="0" xfId="0" applyFont="1" applyFill="1" applyAlignment="1">
      <alignment horizontal="left" shrinkToFit="1"/>
    </xf>
    <xf numFmtId="0" fontId="24" fillId="6" borderId="22" xfId="0" applyFont="1" applyFill="1" applyBorder="1" applyAlignment="1">
      <alignment horizontal="left" shrinkToFit="1"/>
    </xf>
    <xf numFmtId="0" fontId="24" fillId="6" borderId="3" xfId="0" applyFont="1" applyFill="1" applyBorder="1" applyAlignment="1">
      <alignment horizontal="left" shrinkToFit="1"/>
    </xf>
    <xf numFmtId="0" fontId="24" fillId="6" borderId="2" xfId="0" applyFont="1" applyFill="1" applyBorder="1" applyAlignment="1">
      <alignment horizontal="center" shrinkToFit="1"/>
    </xf>
    <xf numFmtId="0" fontId="24" fillId="6" borderId="32" xfId="0" applyFont="1" applyFill="1" applyBorder="1" applyAlignment="1">
      <alignment horizontal="center" shrinkToFit="1"/>
    </xf>
    <xf numFmtId="0" fontId="24" fillId="6" borderId="1" xfId="0" applyFont="1" applyFill="1" applyBorder="1" applyAlignment="1">
      <alignment horizontal="center" shrinkToFit="1"/>
    </xf>
    <xf numFmtId="0" fontId="24" fillId="6" borderId="58" xfId="0" applyFont="1" applyFill="1" applyBorder="1" applyAlignment="1">
      <alignment horizontal="center" shrinkToFit="1"/>
    </xf>
    <xf numFmtId="0" fontId="23" fillId="6" borderId="0" xfId="0" applyFont="1" applyFill="1" applyAlignment="1">
      <alignment horizontal="center" shrinkToFit="1"/>
    </xf>
    <xf numFmtId="0" fontId="23" fillId="6" borderId="41" xfId="0" applyFont="1" applyFill="1" applyBorder="1" applyAlignment="1">
      <alignment horizontal="center" shrinkToFit="1"/>
    </xf>
    <xf numFmtId="0" fontId="22" fillId="6" borderId="40" xfId="0" applyFont="1" applyFill="1" applyBorder="1" applyAlignment="1">
      <alignment horizontal="left"/>
    </xf>
    <xf numFmtId="0" fontId="22" fillId="6" borderId="0" xfId="0" applyFont="1" applyFill="1" applyAlignment="1">
      <alignment horizontal="left"/>
    </xf>
    <xf numFmtId="0" fontId="23" fillId="6" borderId="24" xfId="0" applyFont="1" applyFill="1" applyBorder="1" applyAlignment="1">
      <alignment horizontal="left"/>
    </xf>
    <xf numFmtId="0" fontId="23" fillId="6" borderId="29" xfId="0" applyFont="1" applyFill="1" applyBorder="1" applyAlignment="1">
      <alignment horizontal="left"/>
    </xf>
    <xf numFmtId="0" fontId="23" fillId="6" borderId="2" xfId="0" applyFont="1" applyFill="1" applyBorder="1" applyAlignment="1">
      <alignment horizontal="left"/>
    </xf>
    <xf numFmtId="0" fontId="23" fillId="6" borderId="32" xfId="0" applyFont="1" applyFill="1" applyBorder="1" applyAlignment="1">
      <alignment horizontal="left"/>
    </xf>
    <xf numFmtId="0" fontId="24" fillId="6" borderId="1" xfId="0" applyFont="1" applyFill="1" applyBorder="1" applyAlignment="1">
      <alignment horizontal="center"/>
    </xf>
    <xf numFmtId="0" fontId="24" fillId="6" borderId="58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left"/>
    </xf>
    <xf numFmtId="0" fontId="23" fillId="6" borderId="58" xfId="0" applyFont="1" applyFill="1" applyBorder="1" applyAlignment="1">
      <alignment horizontal="left"/>
    </xf>
    <xf numFmtId="1" fontId="22" fillId="6" borderId="2" xfId="0" applyNumberFormat="1" applyFont="1" applyFill="1" applyBorder="1" applyAlignment="1">
      <alignment horizontal="center"/>
    </xf>
    <xf numFmtId="1" fontId="22" fillId="6" borderId="32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0" fontId="0" fillId="11" borderId="34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34" xfId="0" applyFill="1" applyBorder="1" applyAlignment="1">
      <alignment horizontal="center" wrapText="1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0" fillId="8" borderId="8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0" fillId="8" borderId="34" xfId="0" applyFill="1" applyBorder="1" applyAlignment="1">
      <alignment horizontal="center" wrapText="1"/>
    </xf>
    <xf numFmtId="0" fontId="0" fillId="8" borderId="8" xfId="0" applyFill="1" applyBorder="1" applyAlignment="1">
      <alignment horizontal="center" shrinkToFit="1"/>
    </xf>
    <xf numFmtId="0" fontId="0" fillId="8" borderId="9" xfId="0" applyFill="1" applyBorder="1" applyAlignment="1">
      <alignment horizontal="center" shrinkToFit="1"/>
    </xf>
    <xf numFmtId="0" fontId="0" fillId="8" borderId="34" xfId="0" applyFill="1" applyBorder="1" applyAlignment="1">
      <alignment horizontal="center" shrinkToFit="1"/>
    </xf>
    <xf numFmtId="0" fontId="17" fillId="10" borderId="1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 vertical="center"/>
    </xf>
    <xf numFmtId="0" fontId="12" fillId="8" borderId="33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31" fillId="8" borderId="8" xfId="0" applyFont="1" applyFill="1" applyBorder="1" applyAlignment="1">
      <alignment horizontal="center" wrapText="1"/>
    </xf>
    <xf numFmtId="0" fontId="31" fillId="8" borderId="9" xfId="0" applyFont="1" applyFill="1" applyBorder="1" applyAlignment="1">
      <alignment horizontal="center" wrapText="1"/>
    </xf>
    <xf numFmtId="0" fontId="31" fillId="8" borderId="3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584E-47AA-4B32-8B34-71578342BA80}">
  <sheetPr codeName="Sheet2"/>
  <dimension ref="A1:I1155"/>
  <sheetViews>
    <sheetView showGridLines="0" zoomScale="84" zoomScaleNormal="44" workbookViewId="0">
      <selection activeCell="A106" sqref="A106:I106"/>
    </sheetView>
  </sheetViews>
  <sheetFormatPr defaultColWidth="9.109375" defaultRowHeight="14.4" x14ac:dyDescent="0.3"/>
  <cols>
    <col min="1" max="1" width="11.44140625" style="81" customWidth="1"/>
    <col min="2" max="2" width="10.109375" style="81" customWidth="1"/>
    <col min="3" max="3" width="9.109375" style="81"/>
    <col min="4" max="4" width="9" style="81" customWidth="1"/>
    <col min="5" max="5" width="9.109375" style="81"/>
    <col min="6" max="6" width="10.6640625" style="81" customWidth="1"/>
    <col min="7" max="7" width="9.109375" style="81" customWidth="1"/>
    <col min="8" max="16384" width="9.109375" style="81"/>
  </cols>
  <sheetData>
    <row r="1" spans="1:9" ht="41.1" customHeight="1" thickBot="1" x14ac:dyDescent="0.35">
      <c r="A1" s="240" t="str">
        <f>'FM-2'!$I$3</f>
        <v>APS Hazro</v>
      </c>
      <c r="B1" s="241"/>
      <c r="C1" s="241"/>
      <c r="D1" s="241"/>
      <c r="E1" s="241"/>
      <c r="F1" s="241"/>
      <c r="G1" s="241"/>
      <c r="H1" s="241"/>
      <c r="I1" s="242"/>
    </row>
    <row r="2" spans="1:9" ht="21" customHeight="1" thickBot="1" x14ac:dyDescent="0.4">
      <c r="A2" s="129" t="str">
        <f>'FM-2'!$J$3</f>
        <v>ANNUAL EXAM 2024</v>
      </c>
      <c r="B2" s="67"/>
      <c r="C2" s="67"/>
      <c r="D2" s="67"/>
      <c r="E2" s="67"/>
      <c r="F2" s="67"/>
      <c r="G2" s="67"/>
      <c r="H2" s="67"/>
      <c r="I2" s="68"/>
    </row>
    <row r="3" spans="1:9" ht="21" customHeight="1" x14ac:dyDescent="0.35">
      <c r="A3" s="154"/>
      <c r="B3" s="155"/>
      <c r="C3" s="155"/>
      <c r="D3" s="155"/>
      <c r="E3" s="155"/>
      <c r="F3" s="155"/>
      <c r="G3" s="155"/>
      <c r="H3" s="155"/>
      <c r="I3" s="156"/>
    </row>
    <row r="4" spans="1:9" ht="21" customHeight="1" x14ac:dyDescent="0.3">
      <c r="A4" s="252" t="s">
        <v>0</v>
      </c>
      <c r="B4" s="253"/>
      <c r="C4" s="157" t="str">
        <f>'FM-2'!E3</f>
        <v>Ali1</v>
      </c>
      <c r="D4" s="157"/>
      <c r="E4" s="157"/>
      <c r="F4" s="253" t="s">
        <v>1</v>
      </c>
      <c r="G4" s="253"/>
      <c r="H4" s="258" t="str">
        <f>'FM-2'!F3</f>
        <v>Khan 1</v>
      </c>
      <c r="I4" s="259"/>
    </row>
    <row r="5" spans="1:9" ht="21" customHeight="1" x14ac:dyDescent="0.3">
      <c r="A5" s="252" t="s">
        <v>2</v>
      </c>
      <c r="B5" s="253"/>
      <c r="C5" s="158">
        <f>'FM-2'!C3</f>
        <v>1000</v>
      </c>
      <c r="D5" s="159" t="s">
        <v>3</v>
      </c>
      <c r="E5" s="158" t="str">
        <f>'FM-2'!$B$3</f>
        <v>7TH</v>
      </c>
      <c r="F5" s="253" t="s">
        <v>4</v>
      </c>
      <c r="G5" s="253"/>
      <c r="H5" s="256">
        <f>'FM-2'!D3</f>
        <v>1</v>
      </c>
      <c r="I5" s="257"/>
    </row>
    <row r="6" spans="1:9" ht="21" customHeight="1" thickBot="1" x14ac:dyDescent="0.35">
      <c r="A6" s="254" t="s">
        <v>206</v>
      </c>
      <c r="B6" s="255"/>
      <c r="C6" s="160">
        <f>COUNTIF('Marks Input'!$B$4:$B$63,"&gt;0")</f>
        <v>34</v>
      </c>
      <c r="D6" s="159"/>
      <c r="E6" s="161"/>
      <c r="F6" s="159"/>
      <c r="G6" s="159"/>
      <c r="H6" s="162"/>
      <c r="I6" s="163"/>
    </row>
    <row r="7" spans="1:9" ht="15.75" customHeight="1" thickBot="1" x14ac:dyDescent="0.35">
      <c r="A7" s="229" t="s">
        <v>5</v>
      </c>
      <c r="B7" s="243" t="s">
        <v>6</v>
      </c>
      <c r="C7" s="233" t="s">
        <v>7</v>
      </c>
      <c r="D7" s="245" t="s">
        <v>209</v>
      </c>
      <c r="E7" s="229" t="s">
        <v>8</v>
      </c>
      <c r="F7" s="247" t="s">
        <v>9</v>
      </c>
      <c r="G7" s="248"/>
      <c r="H7" s="248"/>
      <c r="I7" s="239"/>
    </row>
    <row r="8" spans="1:9" ht="30" customHeight="1" thickBot="1" x14ac:dyDescent="0.35">
      <c r="A8" s="230"/>
      <c r="B8" s="244"/>
      <c r="C8" s="234"/>
      <c r="D8" s="246"/>
      <c r="E8" s="230"/>
      <c r="F8" s="125" t="s">
        <v>10</v>
      </c>
      <c r="G8" s="126" t="s">
        <v>11</v>
      </c>
      <c r="H8" s="127" t="s">
        <v>12</v>
      </c>
      <c r="I8" s="128" t="s">
        <v>208</v>
      </c>
    </row>
    <row r="9" spans="1:9" ht="15" customHeight="1" thickBot="1" x14ac:dyDescent="0.35">
      <c r="A9" s="118" t="str">
        <f>'Marks Input'!$G$2</f>
        <v>Urdu</v>
      </c>
      <c r="B9" s="106">
        <f>'Marks Input'!$G$3</f>
        <v>100</v>
      </c>
      <c r="C9" s="99">
        <f>'FM-2'!K3</f>
        <v>70</v>
      </c>
      <c r="D9" s="107">
        <f>C9/B9</f>
        <v>0.7</v>
      </c>
      <c r="E9" s="79" t="str">
        <f>IF(D9&gt;0.899,"A+",IF(D9&gt;0.799,"A",IF(D9&gt;0.699,"B",IF(D9&gt;0.599,"C",IF(D9&gt;0.499,"D",IF(D9&gt;0.399,"E","F"))))))</f>
        <v>B</v>
      </c>
      <c r="F9" s="100">
        <f>MAX('Marks Input'!$G$4:$G$37)</f>
        <v>72</v>
      </c>
      <c r="G9" s="101">
        <f>MIN('Marks Input'!$G$4:$G$37)</f>
        <v>40</v>
      </c>
      <c r="H9" s="108">
        <f>'Marks Input'!$G$40</f>
        <v>62.59</v>
      </c>
      <c r="I9" s="76">
        <f>'FM-2'!V3</f>
        <v>3</v>
      </c>
    </row>
    <row r="10" spans="1:9" ht="15" customHeight="1" thickBot="1" x14ac:dyDescent="0.35">
      <c r="A10" s="119" t="str">
        <f>'Marks Input'!$H$2</f>
        <v>English</v>
      </c>
      <c r="B10" s="109">
        <f>'Marks Input'!$H$3</f>
        <v>100</v>
      </c>
      <c r="C10" s="102">
        <f>'FM-2'!L3</f>
        <v>30</v>
      </c>
      <c r="D10" s="110">
        <f>C10/B10</f>
        <v>0.3</v>
      </c>
      <c r="E10" s="79" t="str">
        <f t="shared" ref="E10:E18" si="0">IF(D10&gt;0.899,"A+",IF(D10&gt;0.799,"A",IF(D10&gt;0.699,"B",IF(D10&gt;0.599,"C",IF(D10&gt;0.499,"D",IF(D10&gt;0.399,"E","F"))))))</f>
        <v>F</v>
      </c>
      <c r="F10" s="103">
        <f>MAX('Marks Input'!$H$4:$H$37)</f>
        <v>74</v>
      </c>
      <c r="G10" s="104">
        <f>MIN('Marks Input'!$H$4:$H$37)</f>
        <v>30</v>
      </c>
      <c r="H10" s="111">
        <f>'Marks Input'!$H$40</f>
        <v>43.26</v>
      </c>
      <c r="I10" s="77">
        <f>'FM-2'!W3</f>
        <v>34</v>
      </c>
    </row>
    <row r="11" spans="1:9" ht="15" customHeight="1" thickBot="1" x14ac:dyDescent="0.35">
      <c r="A11" s="119" t="str">
        <f>'Marks Input'!$I$2</f>
        <v>Islamiyat</v>
      </c>
      <c r="B11" s="109">
        <f>'Marks Input'!$I$3</f>
        <v>100</v>
      </c>
      <c r="C11" s="102">
        <f>'FM-2'!M3</f>
        <v>37</v>
      </c>
      <c r="D11" s="110">
        <f t="shared" ref="D11:D18" si="1">C11/B11</f>
        <v>0.37</v>
      </c>
      <c r="E11" s="79" t="str">
        <f t="shared" si="0"/>
        <v>F</v>
      </c>
      <c r="F11" s="103">
        <f>MAX('Marks Input'!$I$4:$I$37)</f>
        <v>88</v>
      </c>
      <c r="G11" s="104">
        <f>MIN('Marks Input'!$I$4:$I$37)</f>
        <v>34</v>
      </c>
      <c r="H11" s="111">
        <f>'Marks Input'!$I$40</f>
        <v>48.29</v>
      </c>
      <c r="I11" s="77">
        <f>'FM-2'!X3</f>
        <v>24</v>
      </c>
    </row>
    <row r="12" spans="1:9" ht="15" customHeight="1" thickBot="1" x14ac:dyDescent="0.35">
      <c r="A12" s="119" t="str">
        <f>'Marks Input'!$J$2</f>
        <v>Pak Studies</v>
      </c>
      <c r="B12" s="109">
        <f>'Marks Input'!$J$3</f>
        <v>100</v>
      </c>
      <c r="C12" s="102">
        <f>'FM-2'!N3</f>
        <v>58</v>
      </c>
      <c r="D12" s="110">
        <f t="shared" si="1"/>
        <v>0.57999999999999996</v>
      </c>
      <c r="E12" s="79" t="str">
        <f t="shared" si="0"/>
        <v>D</v>
      </c>
      <c r="F12" s="103">
        <f>MAX('Marks Input'!$J$4:$J$37)</f>
        <v>96</v>
      </c>
      <c r="G12" s="104">
        <f>MIN('Marks Input'!$J$4:$J$37)</f>
        <v>34</v>
      </c>
      <c r="H12" s="111">
        <f>'Marks Input'!$J$40</f>
        <v>71.03</v>
      </c>
      <c r="I12" s="77">
        <f>'FM-2'!Y3</f>
        <v>14</v>
      </c>
    </row>
    <row r="13" spans="1:9" ht="15" customHeight="1" thickBot="1" x14ac:dyDescent="0.35">
      <c r="A13" s="119" t="str">
        <f>'Marks Input'!$K$2</f>
        <v>Maths</v>
      </c>
      <c r="B13" s="109">
        <f>'Marks Input'!$K$3</f>
        <v>100</v>
      </c>
      <c r="C13" s="102">
        <f>'FM-2'!O3</f>
        <v>40</v>
      </c>
      <c r="D13" s="110">
        <f t="shared" si="1"/>
        <v>0.4</v>
      </c>
      <c r="E13" s="79" t="str">
        <f t="shared" si="0"/>
        <v>E</v>
      </c>
      <c r="F13" s="103">
        <f>MAX('Marks Input'!$K$4:$K$37)</f>
        <v>94</v>
      </c>
      <c r="G13" s="104">
        <f>MIN('Marks Input'!$K$4:$K$37)</f>
        <v>57</v>
      </c>
      <c r="H13" s="111">
        <f>'Marks Input'!$K$40</f>
        <v>75.819999999999993</v>
      </c>
      <c r="I13" s="77">
        <f>'FM-2'!Z3</f>
        <v>19</v>
      </c>
    </row>
    <row r="14" spans="1:9" ht="15" customHeight="1" thickBot="1" x14ac:dyDescent="0.35">
      <c r="A14" s="119" t="str">
        <f>'Marks Input'!$L$2</f>
        <v>Sci./ Che.</v>
      </c>
      <c r="B14" s="109">
        <f>'Marks Input'!$L$3</f>
        <v>100</v>
      </c>
      <c r="C14" s="102">
        <f>'FM-2'!P3</f>
        <v>70</v>
      </c>
      <c r="D14" s="110">
        <f t="shared" si="1"/>
        <v>0.7</v>
      </c>
      <c r="E14" s="79" t="str">
        <f t="shared" si="0"/>
        <v>B</v>
      </c>
      <c r="F14" s="103">
        <f>MAX('Marks Input'!$L$4:$L$37)</f>
        <v>98</v>
      </c>
      <c r="G14" s="104">
        <f>MIN('Marks Input'!$L$4:$L$37)</f>
        <v>40</v>
      </c>
      <c r="H14" s="111">
        <f>'Marks Input'!$L$40</f>
        <v>61.09</v>
      </c>
      <c r="I14" s="77">
        <f>'FM-2'!AA3</f>
        <v>19</v>
      </c>
    </row>
    <row r="15" spans="1:9" ht="15" customHeight="1" thickBot="1" x14ac:dyDescent="0.35">
      <c r="A15" s="119" t="str">
        <f>'Marks Input'!$M$2</f>
        <v>Nazra</v>
      </c>
      <c r="B15" s="109">
        <f>'Marks Input'!$M$3</f>
        <v>100</v>
      </c>
      <c r="C15" s="102">
        <f>'FM-2'!Q3</f>
        <v>54</v>
      </c>
      <c r="D15" s="110">
        <f t="shared" si="1"/>
        <v>0.54</v>
      </c>
      <c r="E15" s="79" t="str">
        <f t="shared" si="0"/>
        <v>D</v>
      </c>
      <c r="F15" s="103">
        <f>MAX('Marks Input'!$M$4:$M$37)</f>
        <v>94</v>
      </c>
      <c r="G15" s="104">
        <f>MIN('Marks Input'!$M$4:$M$37)</f>
        <v>32</v>
      </c>
      <c r="H15" s="111">
        <f>'Marks Input'!$M$40</f>
        <v>57.79</v>
      </c>
      <c r="I15" s="77">
        <f>'FM-2'!AB3</f>
        <v>18</v>
      </c>
    </row>
    <row r="16" spans="1:9" ht="15" customHeight="1" thickBot="1" x14ac:dyDescent="0.35">
      <c r="A16" s="119" t="str">
        <f>'Marks Input'!$N$2</f>
        <v>Physics</v>
      </c>
      <c r="B16" s="109">
        <f>'Marks Input'!$N$3</f>
        <v>100</v>
      </c>
      <c r="C16" s="102">
        <f>'FM-2'!R3</f>
        <v>83</v>
      </c>
      <c r="D16" s="110">
        <f t="shared" si="1"/>
        <v>0.83</v>
      </c>
      <c r="E16" s="79" t="str">
        <f t="shared" si="0"/>
        <v>A</v>
      </c>
      <c r="F16" s="103">
        <f>MAX('Marks Input'!$N$4:$N$37)</f>
        <v>60</v>
      </c>
      <c r="G16" s="104">
        <f>MIN('Marks Input'!$N$4:$N$37)</f>
        <v>18</v>
      </c>
      <c r="H16" s="111">
        <f>'Marks Input'!$N$40</f>
        <v>42.94</v>
      </c>
      <c r="I16" s="77">
        <f>'FM-2'!AC3</f>
        <v>7</v>
      </c>
    </row>
    <row r="17" spans="1:9" ht="15" customHeight="1" thickBot="1" x14ac:dyDescent="0.35">
      <c r="A17" s="120" t="str">
        <f>'Marks Input'!$O$2</f>
        <v>Bio./Comp.</v>
      </c>
      <c r="B17" s="112">
        <f>'Marks Input'!$O$3</f>
        <v>100</v>
      </c>
      <c r="C17" s="113">
        <f>'FM-2'!S3</f>
        <v>54</v>
      </c>
      <c r="D17" s="114">
        <f>C17/B17</f>
        <v>0.54</v>
      </c>
      <c r="E17" s="80" t="str">
        <f t="shared" si="0"/>
        <v>D</v>
      </c>
      <c r="F17" s="115">
        <f>MAX('Marks Input'!$O$4:$O$37)</f>
        <v>40</v>
      </c>
      <c r="G17" s="116">
        <f>MIN('Marks Input'!$O$4:$O$37)</f>
        <v>14</v>
      </c>
      <c r="H17" s="117">
        <f>'Marks Input'!$O$40</f>
        <v>30.44</v>
      </c>
      <c r="I17" s="78">
        <f>'FM-2'!AD3</f>
        <v>18</v>
      </c>
    </row>
    <row r="18" spans="1:9" ht="21" customHeight="1" thickBot="1" x14ac:dyDescent="0.45">
      <c r="A18" s="69" t="s">
        <v>14</v>
      </c>
      <c r="B18" s="70">
        <f>'Marks Input'!$P$3</f>
        <v>900</v>
      </c>
      <c r="C18" s="71">
        <f>'FM-2'!U3</f>
        <v>470</v>
      </c>
      <c r="D18" s="72">
        <f t="shared" si="1"/>
        <v>0.52222222222222225</v>
      </c>
      <c r="E18" s="73" t="str">
        <f t="shared" si="0"/>
        <v>D</v>
      </c>
      <c r="F18" s="70">
        <f>MAX('Marks Input'!$P$4:$P$37)</f>
        <v>673</v>
      </c>
      <c r="G18" s="71">
        <f>MIN('Marks Input'!$P$4:$P$37)</f>
        <v>322</v>
      </c>
      <c r="H18" s="74">
        <f>'Marks Input'!$P$40</f>
        <v>493.26</v>
      </c>
      <c r="I18" s="75">
        <f>'FM-2'!AF3</f>
        <v>23</v>
      </c>
    </row>
    <row r="19" spans="1:9" ht="21" customHeight="1" thickBot="1" x14ac:dyDescent="0.35">
      <c r="A19" s="196" t="s">
        <v>15</v>
      </c>
      <c r="B19" s="197"/>
      <c r="C19" s="197"/>
      <c r="D19" s="166"/>
      <c r="E19" s="166"/>
      <c r="F19" s="166"/>
      <c r="G19" s="166"/>
      <c r="H19" s="167"/>
      <c r="I19" s="168"/>
    </row>
    <row r="20" spans="1:9" ht="28.2" customHeight="1" x14ac:dyDescent="0.3">
      <c r="A20" s="198" t="str">
        <f>IF(D18&gt;0.399,"Promoted Successfully","Not Promoted")</f>
        <v>Promoted Successfully</v>
      </c>
      <c r="B20" s="199"/>
      <c r="C20" s="199"/>
      <c r="D20" s="199"/>
      <c r="E20" s="199"/>
      <c r="F20" s="199"/>
      <c r="G20" s="199"/>
      <c r="H20" s="199"/>
      <c r="I20" s="200"/>
    </row>
    <row r="21" spans="1:9" ht="18.600000000000001" customHeight="1" thickBot="1" x14ac:dyDescent="0.35">
      <c r="A21" s="201"/>
      <c r="B21" s="202"/>
      <c r="C21" s="202"/>
      <c r="D21" s="202"/>
      <c r="E21" s="202"/>
      <c r="F21" s="202"/>
      <c r="G21" s="202"/>
      <c r="H21" s="202"/>
      <c r="I21" s="203"/>
    </row>
    <row r="22" spans="1:9" ht="30" customHeight="1" x14ac:dyDescent="0.3">
      <c r="A22" s="164"/>
      <c r="B22" s="165"/>
      <c r="C22" s="165"/>
      <c r="D22" s="175" t="s">
        <v>140</v>
      </c>
      <c r="E22" s="174"/>
      <c r="F22" s="174"/>
      <c r="G22" s="264"/>
      <c r="H22" s="264"/>
      <c r="I22" s="265"/>
    </row>
    <row r="23" spans="1:9" ht="25.2" customHeight="1" x14ac:dyDescent="0.3">
      <c r="A23" s="164"/>
      <c r="B23" s="166"/>
      <c r="C23" s="166"/>
      <c r="D23" s="175" t="s">
        <v>16</v>
      </c>
      <c r="E23" s="174"/>
      <c r="F23" s="174"/>
      <c r="G23" s="266"/>
      <c r="H23" s="266"/>
      <c r="I23" s="267"/>
    </row>
    <row r="24" spans="1:9" ht="15" customHeight="1" x14ac:dyDescent="0.3">
      <c r="A24" s="164"/>
      <c r="B24" s="166"/>
      <c r="C24" s="166"/>
      <c r="D24" s="166"/>
      <c r="E24" s="166"/>
      <c r="F24" s="260" t="str">
        <f>A1</f>
        <v>APS Hazro</v>
      </c>
      <c r="G24" s="260"/>
      <c r="H24" s="260"/>
      <c r="I24" s="261"/>
    </row>
    <row r="25" spans="1:9" ht="15" customHeight="1" thickBot="1" x14ac:dyDescent="0.35">
      <c r="A25" s="210"/>
      <c r="B25" s="211"/>
      <c r="C25" s="211"/>
      <c r="D25" s="211"/>
      <c r="E25" s="211"/>
      <c r="F25" s="211"/>
      <c r="G25" s="211"/>
      <c r="H25" s="211"/>
      <c r="I25" s="212"/>
    </row>
    <row r="26" spans="1:9" ht="15" customHeight="1" x14ac:dyDescent="0.3">
      <c r="A26" s="213"/>
      <c r="B26" s="214"/>
      <c r="C26" s="214"/>
      <c r="D26" s="214"/>
      <c r="E26" s="214"/>
      <c r="F26" s="214"/>
      <c r="G26" s="214"/>
      <c r="H26" s="214"/>
      <c r="I26" s="215"/>
    </row>
    <row r="27" spans="1:9" ht="21" customHeight="1" x14ac:dyDescent="0.35">
      <c r="A27" s="171" t="s">
        <v>17</v>
      </c>
      <c r="B27" s="172">
        <f>H5</f>
        <v>1</v>
      </c>
      <c r="C27" s="169"/>
      <c r="D27" s="170" t="s">
        <v>3</v>
      </c>
      <c r="E27" s="170" t="str">
        <f>E5</f>
        <v>7TH</v>
      </c>
      <c r="F27" s="173" t="s">
        <v>18</v>
      </c>
      <c r="G27" s="268" t="str">
        <f>E18</f>
        <v>D</v>
      </c>
      <c r="H27" s="268"/>
      <c r="I27" s="269"/>
    </row>
    <row r="28" spans="1:9" ht="30" customHeight="1" x14ac:dyDescent="0.3">
      <c r="A28" s="262" t="s">
        <v>210</v>
      </c>
      <c r="B28" s="263"/>
      <c r="C28" s="271"/>
      <c r="D28" s="271"/>
      <c r="E28" s="270" t="s">
        <v>19</v>
      </c>
      <c r="F28" s="270"/>
      <c r="G28" s="274">
        <f>'FM-2'!G3</f>
        <v>3005326707</v>
      </c>
      <c r="H28" s="274"/>
      <c r="I28" s="275"/>
    </row>
    <row r="29" spans="1:9" ht="30" customHeight="1" x14ac:dyDescent="0.3">
      <c r="A29" s="262" t="s">
        <v>20</v>
      </c>
      <c r="B29" s="263"/>
      <c r="C29" s="272"/>
      <c r="D29" s="272"/>
      <c r="E29" s="272"/>
      <c r="F29" s="272"/>
      <c r="G29" s="272"/>
      <c r="H29" s="272"/>
      <c r="I29" s="273"/>
    </row>
    <row r="30" spans="1:9" ht="30" customHeight="1" x14ac:dyDescent="0.3">
      <c r="A30" s="180"/>
      <c r="B30" s="181"/>
      <c r="C30" s="181"/>
      <c r="D30" s="181"/>
      <c r="E30" s="181"/>
      <c r="F30" s="181"/>
      <c r="G30" s="181"/>
      <c r="H30" s="181"/>
      <c r="I30" s="182"/>
    </row>
    <row r="31" spans="1:9" ht="21" customHeight="1" x14ac:dyDescent="0.3">
      <c r="A31" s="183"/>
      <c r="B31" s="184"/>
      <c r="C31" s="184"/>
      <c r="D31" s="184"/>
      <c r="E31" s="184"/>
      <c r="F31" s="184"/>
      <c r="G31" s="184"/>
      <c r="H31" s="184"/>
      <c r="I31" s="185"/>
    </row>
    <row r="32" spans="1:9" ht="21" customHeight="1" x14ac:dyDescent="0.3">
      <c r="A32" s="91" t="s">
        <v>207</v>
      </c>
      <c r="B32" s="186">
        <f ca="1">TODAY()</f>
        <v>46315</v>
      </c>
      <c r="C32" s="186"/>
      <c r="D32" s="187" t="s">
        <v>141</v>
      </c>
      <c r="E32" s="187"/>
      <c r="F32" s="187"/>
      <c r="G32" s="188"/>
      <c r="H32" s="188"/>
      <c r="I32" s="189"/>
    </row>
    <row r="33" spans="1:9" ht="21" customHeight="1" x14ac:dyDescent="0.3">
      <c r="A33" s="190" t="s">
        <v>211</v>
      </c>
      <c r="B33" s="191"/>
      <c r="C33" s="191"/>
      <c r="D33" s="191"/>
      <c r="E33" s="191"/>
      <c r="F33" s="191"/>
      <c r="G33" s="191"/>
      <c r="H33" s="191"/>
      <c r="I33" s="192"/>
    </row>
    <row r="34" spans="1:9" ht="15" customHeight="1" x14ac:dyDescent="0.3">
      <c r="A34" s="190"/>
      <c r="B34" s="191"/>
      <c r="C34" s="191"/>
      <c r="D34" s="191"/>
      <c r="E34" s="191"/>
      <c r="F34" s="191"/>
      <c r="G34" s="191"/>
      <c r="H34" s="191"/>
      <c r="I34" s="192"/>
    </row>
    <row r="35" spans="1:9" ht="15" customHeight="1" thickBot="1" x14ac:dyDescent="0.35">
      <c r="A35" s="193"/>
      <c r="B35" s="194"/>
      <c r="C35" s="194"/>
      <c r="D35" s="194"/>
      <c r="E35" s="194"/>
      <c r="F35" s="194"/>
      <c r="G35" s="194"/>
      <c r="H35" s="194"/>
      <c r="I35" s="195"/>
    </row>
    <row r="36" spans="1:9" ht="41.1" customHeight="1" thickBot="1" x14ac:dyDescent="0.35">
      <c r="A36" s="240" t="str">
        <f>'FM-2'!$I$3</f>
        <v>APS Hazro</v>
      </c>
      <c r="B36" s="241"/>
      <c r="C36" s="241"/>
      <c r="D36" s="241"/>
      <c r="E36" s="241"/>
      <c r="F36" s="241"/>
      <c r="G36" s="241"/>
      <c r="H36" s="241"/>
      <c r="I36" s="242"/>
    </row>
    <row r="37" spans="1:9" ht="21" customHeight="1" thickBot="1" x14ac:dyDescent="0.4">
      <c r="A37" s="129" t="str">
        <f>'FM-2'!$J$3</f>
        <v>ANNUAL EXAM 2024</v>
      </c>
      <c r="B37" s="67"/>
      <c r="C37" s="67"/>
      <c r="D37" s="67"/>
      <c r="E37" s="67"/>
      <c r="F37" s="67"/>
      <c r="G37" s="67"/>
      <c r="H37" s="67"/>
      <c r="I37" s="68"/>
    </row>
    <row r="38" spans="1:9" ht="21" customHeight="1" x14ac:dyDescent="0.35">
      <c r="A38" s="122"/>
      <c r="B38" s="123"/>
      <c r="C38" s="123"/>
      <c r="D38" s="123"/>
      <c r="E38" s="123"/>
      <c r="F38" s="123"/>
      <c r="G38" s="123"/>
      <c r="H38" s="123"/>
      <c r="I38" s="124"/>
    </row>
    <row r="39" spans="1:9" ht="21" customHeight="1" x14ac:dyDescent="0.3">
      <c r="A39" s="221" t="s">
        <v>0</v>
      </c>
      <c r="B39" s="222"/>
      <c r="C39" s="98" t="str">
        <f>'FM-2'!E4</f>
        <v>Ali2</v>
      </c>
      <c r="D39" s="98"/>
      <c r="E39" s="98"/>
      <c r="F39" s="222" t="s">
        <v>1</v>
      </c>
      <c r="G39" s="222"/>
      <c r="H39" s="223" t="str">
        <f>'FM-2'!F4</f>
        <v>khan2</v>
      </c>
      <c r="I39" s="224"/>
    </row>
    <row r="40" spans="1:9" ht="21" customHeight="1" x14ac:dyDescent="0.3">
      <c r="A40" s="221" t="s">
        <v>2</v>
      </c>
      <c r="B40" s="222"/>
      <c r="C40" s="92">
        <f>'FM-2'!C4</f>
        <v>1001</v>
      </c>
      <c r="D40" s="93" t="s">
        <v>3</v>
      </c>
      <c r="E40" s="92" t="str">
        <f>'FM-2'!$B$3</f>
        <v>7TH</v>
      </c>
      <c r="F40" s="222" t="s">
        <v>4</v>
      </c>
      <c r="G40" s="222"/>
      <c r="H40" s="225">
        <f>'FM-2'!D4</f>
        <v>2</v>
      </c>
      <c r="I40" s="226"/>
    </row>
    <row r="41" spans="1:9" ht="21" customHeight="1" thickBot="1" x14ac:dyDescent="0.35">
      <c r="A41" s="227" t="s">
        <v>206</v>
      </c>
      <c r="B41" s="228"/>
      <c r="C41" s="94">
        <f>COUNTIF('Marks Input'!$B$4:$B$63,"&gt;0")</f>
        <v>34</v>
      </c>
      <c r="D41" s="93"/>
      <c r="E41" s="95"/>
      <c r="F41" s="93"/>
      <c r="G41" s="93"/>
      <c r="H41" s="96"/>
      <c r="I41" s="97"/>
    </row>
    <row r="42" spans="1:9" ht="15.75" customHeight="1" thickBot="1" x14ac:dyDescent="0.35">
      <c r="A42" s="229" t="s">
        <v>5</v>
      </c>
      <c r="B42" s="231" t="s">
        <v>6</v>
      </c>
      <c r="C42" s="233" t="s">
        <v>7</v>
      </c>
      <c r="D42" s="235" t="s">
        <v>209</v>
      </c>
      <c r="E42" s="229" t="s">
        <v>8</v>
      </c>
      <c r="F42" s="237" t="s">
        <v>9</v>
      </c>
      <c r="G42" s="238"/>
      <c r="H42" s="238"/>
      <c r="I42" s="239"/>
    </row>
    <row r="43" spans="1:9" ht="30" customHeight="1" thickBot="1" x14ac:dyDescent="0.35">
      <c r="A43" s="230"/>
      <c r="B43" s="232"/>
      <c r="C43" s="234"/>
      <c r="D43" s="236"/>
      <c r="E43" s="230"/>
      <c r="F43" s="125" t="s">
        <v>10</v>
      </c>
      <c r="G43" s="126" t="s">
        <v>11</v>
      </c>
      <c r="H43" s="127" t="s">
        <v>12</v>
      </c>
      <c r="I43" s="128" t="s">
        <v>208</v>
      </c>
    </row>
    <row r="44" spans="1:9" ht="15" customHeight="1" thickBot="1" x14ac:dyDescent="0.35">
      <c r="A44" s="118" t="str">
        <f>'Marks Input'!$G$2</f>
        <v>Urdu</v>
      </c>
      <c r="B44" s="106">
        <f>'Marks Input'!$G$3</f>
        <v>100</v>
      </c>
      <c r="C44" s="99">
        <f>'FM-2'!K4</f>
        <v>68</v>
      </c>
      <c r="D44" s="107">
        <f>C44/B44</f>
        <v>0.68</v>
      </c>
      <c r="E44" s="79" t="str">
        <f>IF(D44&gt;0.899,"A+",IF(D44&gt;0.799,"A",IF(D44&gt;0.699,"B",IF(D44&gt;0.599,"C",IF(D44&gt;0.499,"D",IF(D44&gt;0.399,"E","F"))))))</f>
        <v>C</v>
      </c>
      <c r="F44" s="100">
        <f>MAX('Marks Input'!$G$4:$G$37)</f>
        <v>72</v>
      </c>
      <c r="G44" s="101">
        <f>MIN('Marks Input'!$G$4:$G$37)</f>
        <v>40</v>
      </c>
      <c r="H44" s="108">
        <f>'Marks Input'!$G$40</f>
        <v>62.59</v>
      </c>
      <c r="I44" s="76">
        <f>'FM-2'!V4</f>
        <v>9</v>
      </c>
    </row>
    <row r="45" spans="1:9" ht="15" customHeight="1" thickBot="1" x14ac:dyDescent="0.35">
      <c r="A45" s="119" t="str">
        <f>'Marks Input'!$H$2</f>
        <v>English</v>
      </c>
      <c r="B45" s="109">
        <f>'Marks Input'!$H$3</f>
        <v>100</v>
      </c>
      <c r="C45" s="102">
        <f>'FM-2'!L4</f>
        <v>59</v>
      </c>
      <c r="D45" s="110">
        <f>C45/B45</f>
        <v>0.59</v>
      </c>
      <c r="E45" s="79" t="str">
        <f t="shared" ref="E45:E53" si="2">IF(D45&gt;0.899,"A+",IF(D45&gt;0.799,"A",IF(D45&gt;0.699,"B",IF(D45&gt;0.599,"C",IF(D45&gt;0.499,"D",IF(D45&gt;0.399,"E","F"))))))</f>
        <v>D</v>
      </c>
      <c r="F45" s="103">
        <f>MAX('Marks Input'!$H$4:$H$37)</f>
        <v>74</v>
      </c>
      <c r="G45" s="104">
        <f>MIN('Marks Input'!$H$4:$H$37)</f>
        <v>30</v>
      </c>
      <c r="H45" s="111">
        <f>'Marks Input'!$H$40</f>
        <v>43.26</v>
      </c>
      <c r="I45" s="77">
        <f>'FM-2'!W4</f>
        <v>7</v>
      </c>
    </row>
    <row r="46" spans="1:9" ht="15" customHeight="1" thickBot="1" x14ac:dyDescent="0.35">
      <c r="A46" s="119" t="str">
        <f>'Marks Input'!$I$2</f>
        <v>Islamiyat</v>
      </c>
      <c r="B46" s="109">
        <f>'Marks Input'!$I$3</f>
        <v>100</v>
      </c>
      <c r="C46" s="102">
        <f>'FM-2'!M4</f>
        <v>58</v>
      </c>
      <c r="D46" s="110">
        <f t="shared" ref="D46:D51" si="3">C46/B46</f>
        <v>0.57999999999999996</v>
      </c>
      <c r="E46" s="79" t="str">
        <f t="shared" si="2"/>
        <v>D</v>
      </c>
      <c r="F46" s="103">
        <f>MAX('Marks Input'!$I$4:$I$37)</f>
        <v>88</v>
      </c>
      <c r="G46" s="104">
        <f>MIN('Marks Input'!$I$4:$I$37)</f>
        <v>34</v>
      </c>
      <c r="H46" s="111">
        <f>'Marks Input'!$I$40</f>
        <v>48.29</v>
      </c>
      <c r="I46" s="77">
        <f>'FM-2'!X4</f>
        <v>5</v>
      </c>
    </row>
    <row r="47" spans="1:9" ht="15" customHeight="1" thickBot="1" x14ac:dyDescent="0.35">
      <c r="A47" s="119" t="str">
        <f>'Marks Input'!$J$2</f>
        <v>Pak Studies</v>
      </c>
      <c r="B47" s="109">
        <f>'Marks Input'!$J$3</f>
        <v>100</v>
      </c>
      <c r="C47" s="102">
        <f>'FM-2'!N4</f>
        <v>56</v>
      </c>
      <c r="D47" s="110">
        <f t="shared" si="3"/>
        <v>0.56000000000000005</v>
      </c>
      <c r="E47" s="79" t="str">
        <f t="shared" si="2"/>
        <v>D</v>
      </c>
      <c r="F47" s="103">
        <f>MAX('Marks Input'!$J$4:$J$37)</f>
        <v>96</v>
      </c>
      <c r="G47" s="104">
        <f>MIN('Marks Input'!$J$4:$J$37)</f>
        <v>34</v>
      </c>
      <c r="H47" s="111">
        <f>'Marks Input'!$J$40</f>
        <v>71.03</v>
      </c>
      <c r="I47" s="77">
        <f>'FM-2'!Y4</f>
        <v>17</v>
      </c>
    </row>
    <row r="48" spans="1:9" ht="15" customHeight="1" thickBot="1" x14ac:dyDescent="0.35">
      <c r="A48" s="119" t="str">
        <f>'Marks Input'!$K$2</f>
        <v>Maths</v>
      </c>
      <c r="B48" s="109">
        <f>'Marks Input'!$K$3</f>
        <v>100</v>
      </c>
      <c r="C48" s="102">
        <f>'FM-2'!O4</f>
        <v>40</v>
      </c>
      <c r="D48" s="110">
        <f t="shared" si="3"/>
        <v>0.4</v>
      </c>
      <c r="E48" s="79" t="str">
        <f t="shared" si="2"/>
        <v>E</v>
      </c>
      <c r="F48" s="103">
        <f>MAX('Marks Input'!$K$4:$K$37)</f>
        <v>94</v>
      </c>
      <c r="G48" s="104">
        <f>MIN('Marks Input'!$K$4:$K$37)</f>
        <v>57</v>
      </c>
      <c r="H48" s="111">
        <f>'Marks Input'!$K$40</f>
        <v>75.819999999999993</v>
      </c>
      <c r="I48" s="77">
        <f>'FM-2'!Z4</f>
        <v>19</v>
      </c>
    </row>
    <row r="49" spans="1:9" ht="15" customHeight="1" thickBot="1" x14ac:dyDescent="0.35">
      <c r="A49" s="119" t="str">
        <f>'Marks Input'!$L$2</f>
        <v>Sci./ Che.</v>
      </c>
      <c r="B49" s="109">
        <f>'Marks Input'!$L$3</f>
        <v>100</v>
      </c>
      <c r="C49" s="102">
        <f>'FM-2'!P4</f>
        <v>92</v>
      </c>
      <c r="D49" s="110">
        <f t="shared" si="3"/>
        <v>0.92</v>
      </c>
      <c r="E49" s="79" t="str">
        <f t="shared" si="2"/>
        <v>A+</v>
      </c>
      <c r="F49" s="103">
        <f>MAX('Marks Input'!$L$4:$L$37)</f>
        <v>98</v>
      </c>
      <c r="G49" s="104">
        <f>MIN('Marks Input'!$L$4:$L$37)</f>
        <v>40</v>
      </c>
      <c r="H49" s="111">
        <f>'Marks Input'!$L$40</f>
        <v>61.09</v>
      </c>
      <c r="I49" s="77">
        <f>'FM-2'!AA4</f>
        <v>9</v>
      </c>
    </row>
    <row r="50" spans="1:9" ht="15" customHeight="1" thickBot="1" x14ac:dyDescent="0.35">
      <c r="A50" s="119" t="str">
        <f>'Marks Input'!$M$2</f>
        <v>Nazra</v>
      </c>
      <c r="B50" s="109">
        <f>'Marks Input'!$M$3</f>
        <v>100</v>
      </c>
      <c r="C50" s="102">
        <f>'FM-2'!Q4</f>
        <v>61</v>
      </c>
      <c r="D50" s="110">
        <f t="shared" si="3"/>
        <v>0.61</v>
      </c>
      <c r="E50" s="79" t="str">
        <f t="shared" si="2"/>
        <v>C</v>
      </c>
      <c r="F50" s="103">
        <f>MAX('Marks Input'!$M$4:$M$37)</f>
        <v>94</v>
      </c>
      <c r="G50" s="104">
        <f>MIN('Marks Input'!$M$4:$M$37)</f>
        <v>32</v>
      </c>
      <c r="H50" s="111">
        <f>'Marks Input'!$M$40</f>
        <v>57.79</v>
      </c>
      <c r="I50" s="77">
        <f>'FM-2'!AB4</f>
        <v>10</v>
      </c>
    </row>
    <row r="51" spans="1:9" ht="15" customHeight="1" thickBot="1" x14ac:dyDescent="0.35">
      <c r="A51" s="119" t="str">
        <f>'Marks Input'!$N$2</f>
        <v>Physics</v>
      </c>
      <c r="B51" s="109">
        <f>'Marks Input'!$N$3</f>
        <v>100</v>
      </c>
      <c r="C51" s="102">
        <f>'FM-2'!R4</f>
        <v>76</v>
      </c>
      <c r="D51" s="110">
        <f t="shared" si="3"/>
        <v>0.76</v>
      </c>
      <c r="E51" s="79" t="str">
        <f t="shared" si="2"/>
        <v>B</v>
      </c>
      <c r="F51" s="103">
        <f>MAX('Marks Input'!$N$4:$N$37)</f>
        <v>60</v>
      </c>
      <c r="G51" s="104">
        <f>MIN('Marks Input'!$N$4:$N$37)</f>
        <v>18</v>
      </c>
      <c r="H51" s="111">
        <f>'Marks Input'!$N$40</f>
        <v>42.94</v>
      </c>
      <c r="I51" s="77">
        <f>'FM-2'!AC4</f>
        <v>14</v>
      </c>
    </row>
    <row r="52" spans="1:9" ht="15" customHeight="1" thickBot="1" x14ac:dyDescent="0.35">
      <c r="A52" s="120" t="str">
        <f>'Marks Input'!$O$2</f>
        <v>Bio./Comp.</v>
      </c>
      <c r="B52" s="112">
        <f>'Marks Input'!$O$3</f>
        <v>100</v>
      </c>
      <c r="C52" s="113">
        <f>'FM-2'!S4</f>
        <v>61</v>
      </c>
      <c r="D52" s="114">
        <f>C52/B52</f>
        <v>0.61</v>
      </c>
      <c r="E52" s="80" t="str">
        <f t="shared" si="2"/>
        <v>C</v>
      </c>
      <c r="F52" s="115">
        <f>MAX('Marks Input'!$O$4:$O$37)</f>
        <v>40</v>
      </c>
      <c r="G52" s="116">
        <f>MIN('Marks Input'!$O$4:$O$37)</f>
        <v>14</v>
      </c>
      <c r="H52" s="117">
        <f>'Marks Input'!$O$40</f>
        <v>30.44</v>
      </c>
      <c r="I52" s="78">
        <f>'FM-2'!AD4</f>
        <v>10</v>
      </c>
    </row>
    <row r="53" spans="1:9" ht="21" customHeight="1" thickBot="1" x14ac:dyDescent="0.45">
      <c r="A53" s="69" t="s">
        <v>14</v>
      </c>
      <c r="B53" s="70">
        <f>'Marks Input'!$P$3</f>
        <v>900</v>
      </c>
      <c r="C53" s="71">
        <f>'FM-2'!U4</f>
        <v>550</v>
      </c>
      <c r="D53" s="72">
        <f t="shared" ref="D53" si="4">C53/B53</f>
        <v>0.61111111111111116</v>
      </c>
      <c r="E53" s="73" t="str">
        <f t="shared" si="2"/>
        <v>C</v>
      </c>
      <c r="F53" s="70">
        <f>MAX('Marks Input'!$P$4:$P$37)</f>
        <v>673</v>
      </c>
      <c r="G53" s="71">
        <f>MIN('Marks Input'!$P$4:$P$37)</f>
        <v>322</v>
      </c>
      <c r="H53" s="74">
        <f>'Marks Input'!$P$40</f>
        <v>493.26</v>
      </c>
      <c r="I53" s="75">
        <f>'FM-2'!AF4</f>
        <v>9</v>
      </c>
    </row>
    <row r="54" spans="1:9" ht="21" customHeight="1" thickBot="1" x14ac:dyDescent="0.35">
      <c r="A54" s="196" t="s">
        <v>15</v>
      </c>
      <c r="B54" s="197"/>
      <c r="C54" s="197"/>
      <c r="H54" s="82"/>
      <c r="I54" s="83"/>
    </row>
    <row r="55" spans="1:9" ht="35.1" customHeight="1" x14ac:dyDescent="0.3">
      <c r="A55" s="198" t="str">
        <f>IF(D53&gt;0.399,"Promoted Successfully","Not Promoted")</f>
        <v>Promoted Successfully</v>
      </c>
      <c r="B55" s="199"/>
      <c r="C55" s="199"/>
      <c r="D55" s="199"/>
      <c r="E55" s="199"/>
      <c r="F55" s="199"/>
      <c r="G55" s="199"/>
      <c r="H55" s="199"/>
      <c r="I55" s="200"/>
    </row>
    <row r="56" spans="1:9" ht="35.1" customHeight="1" thickBot="1" x14ac:dyDescent="0.35">
      <c r="A56" s="201"/>
      <c r="B56" s="202"/>
      <c r="C56" s="202"/>
      <c r="D56" s="202"/>
      <c r="E56" s="202"/>
      <c r="F56" s="202"/>
      <c r="G56" s="202"/>
      <c r="H56" s="202"/>
      <c r="I56" s="203"/>
    </row>
    <row r="57" spans="1:9" ht="30" customHeight="1" x14ac:dyDescent="0.3">
      <c r="A57" s="84"/>
      <c r="B57" s="85"/>
      <c r="C57" s="85"/>
      <c r="D57" s="121" t="s">
        <v>140</v>
      </c>
      <c r="E57" s="86"/>
      <c r="F57" s="86"/>
      <c r="G57" s="204"/>
      <c r="H57" s="204"/>
      <c r="I57" s="205"/>
    </row>
    <row r="58" spans="1:9" ht="30" customHeight="1" x14ac:dyDescent="0.3">
      <c r="A58" s="84"/>
      <c r="D58" s="121" t="s">
        <v>16</v>
      </c>
      <c r="E58" s="86"/>
      <c r="F58" s="86"/>
      <c r="G58" s="206"/>
      <c r="H58" s="206"/>
      <c r="I58" s="207"/>
    </row>
    <row r="59" spans="1:9" ht="15" customHeight="1" x14ac:dyDescent="0.3">
      <c r="A59" s="84"/>
      <c r="F59" s="208" t="str">
        <f>A36</f>
        <v>APS Hazro</v>
      </c>
      <c r="G59" s="208"/>
      <c r="H59" s="208"/>
      <c r="I59" s="209"/>
    </row>
    <row r="60" spans="1:9" ht="15" customHeight="1" thickBot="1" x14ac:dyDescent="0.35">
      <c r="A60" s="210"/>
      <c r="B60" s="211"/>
      <c r="C60" s="211"/>
      <c r="D60" s="211"/>
      <c r="E60" s="211"/>
      <c r="F60" s="211"/>
      <c r="G60" s="211"/>
      <c r="H60" s="211"/>
      <c r="I60" s="212"/>
    </row>
    <row r="61" spans="1:9" ht="15" customHeight="1" x14ac:dyDescent="0.3">
      <c r="A61" s="213"/>
      <c r="B61" s="214"/>
      <c r="C61" s="214"/>
      <c r="D61" s="214"/>
      <c r="E61" s="214"/>
      <c r="F61" s="214"/>
      <c r="G61" s="214"/>
      <c r="H61" s="214"/>
      <c r="I61" s="215"/>
    </row>
    <row r="62" spans="1:9" ht="21" customHeight="1" x14ac:dyDescent="0.35">
      <c r="A62" s="87" t="s">
        <v>17</v>
      </c>
      <c r="B62" s="105">
        <f>H40</f>
        <v>2</v>
      </c>
      <c r="C62" s="88"/>
      <c r="D62" s="89" t="s">
        <v>3</v>
      </c>
      <c r="E62" s="89" t="str">
        <f>E40</f>
        <v>7TH</v>
      </c>
      <c r="F62" s="90" t="s">
        <v>18</v>
      </c>
      <c r="G62" s="216" t="str">
        <f>E53</f>
        <v>C</v>
      </c>
      <c r="H62" s="216"/>
      <c r="I62" s="217"/>
    </row>
    <row r="63" spans="1:9" ht="30" customHeight="1" x14ac:dyDescent="0.3">
      <c r="A63" s="176" t="s">
        <v>210</v>
      </c>
      <c r="B63" s="177"/>
      <c r="C63" s="218"/>
      <c r="D63" s="218"/>
      <c r="E63" s="187" t="s">
        <v>19</v>
      </c>
      <c r="F63" s="187"/>
      <c r="G63" s="219"/>
      <c r="H63" s="219"/>
      <c r="I63" s="220"/>
    </row>
    <row r="64" spans="1:9" ht="30" customHeight="1" x14ac:dyDescent="0.3">
      <c r="A64" s="176" t="s">
        <v>20</v>
      </c>
      <c r="B64" s="177"/>
      <c r="C64" s="178"/>
      <c r="D64" s="178"/>
      <c r="E64" s="178"/>
      <c r="F64" s="178"/>
      <c r="G64" s="178"/>
      <c r="H64" s="178"/>
      <c r="I64" s="179"/>
    </row>
    <row r="65" spans="1:9" ht="30" customHeight="1" x14ac:dyDescent="0.3">
      <c r="A65" s="180"/>
      <c r="B65" s="181"/>
      <c r="C65" s="181"/>
      <c r="D65" s="181"/>
      <c r="E65" s="181"/>
      <c r="F65" s="181"/>
      <c r="G65" s="181"/>
      <c r="H65" s="181"/>
      <c r="I65" s="182"/>
    </row>
    <row r="66" spans="1:9" ht="21" customHeight="1" x14ac:dyDescent="0.3">
      <c r="A66" s="183"/>
      <c r="B66" s="184"/>
      <c r="C66" s="184"/>
      <c r="D66" s="184"/>
      <c r="E66" s="184"/>
      <c r="F66" s="184"/>
      <c r="G66" s="184"/>
      <c r="H66" s="184"/>
      <c r="I66" s="185"/>
    </row>
    <row r="67" spans="1:9" ht="21" customHeight="1" x14ac:dyDescent="0.3">
      <c r="A67" s="91" t="s">
        <v>207</v>
      </c>
      <c r="B67" s="186">
        <f ca="1">TODAY()</f>
        <v>46315</v>
      </c>
      <c r="C67" s="186"/>
      <c r="D67" s="187" t="s">
        <v>141</v>
      </c>
      <c r="E67" s="187"/>
      <c r="F67" s="187"/>
      <c r="G67" s="188"/>
      <c r="H67" s="188"/>
      <c r="I67" s="189"/>
    </row>
    <row r="68" spans="1:9" ht="21" customHeight="1" x14ac:dyDescent="0.3">
      <c r="A68" s="190" t="s">
        <v>211</v>
      </c>
      <c r="B68" s="191"/>
      <c r="C68" s="191"/>
      <c r="D68" s="191"/>
      <c r="E68" s="191"/>
      <c r="F68" s="191"/>
      <c r="G68" s="191"/>
      <c r="H68" s="191"/>
      <c r="I68" s="192"/>
    </row>
    <row r="69" spans="1:9" ht="15" customHeight="1" x14ac:dyDescent="0.3">
      <c r="A69" s="190"/>
      <c r="B69" s="191"/>
      <c r="C69" s="191"/>
      <c r="D69" s="191"/>
      <c r="E69" s="191"/>
      <c r="F69" s="191"/>
      <c r="G69" s="191"/>
      <c r="H69" s="191"/>
      <c r="I69" s="192"/>
    </row>
    <row r="70" spans="1:9" ht="15" thickBot="1" x14ac:dyDescent="0.35">
      <c r="A70" s="193"/>
      <c r="B70" s="194"/>
      <c r="C70" s="194"/>
      <c r="D70" s="194"/>
      <c r="E70" s="194"/>
      <c r="F70" s="194"/>
      <c r="G70" s="194"/>
      <c r="H70" s="194"/>
      <c r="I70" s="195"/>
    </row>
    <row r="71" spans="1:9" ht="41.1" customHeight="1" thickBot="1" x14ac:dyDescent="0.35">
      <c r="A71" s="240" t="str">
        <f>'FM-2'!$I$3</f>
        <v>APS Hazro</v>
      </c>
      <c r="B71" s="241"/>
      <c r="C71" s="241"/>
      <c r="D71" s="241"/>
      <c r="E71" s="241"/>
      <c r="F71" s="241"/>
      <c r="G71" s="241"/>
      <c r="H71" s="241"/>
      <c r="I71" s="242"/>
    </row>
    <row r="72" spans="1:9" ht="21" customHeight="1" thickBot="1" x14ac:dyDescent="0.4">
      <c r="A72" s="129" t="str">
        <f>'FM-2'!$J$3</f>
        <v>ANNUAL EXAM 2024</v>
      </c>
      <c r="B72" s="67"/>
      <c r="C72" s="67"/>
      <c r="D72" s="67"/>
      <c r="E72" s="67"/>
      <c r="F72" s="67"/>
      <c r="G72" s="67"/>
      <c r="H72" s="67"/>
      <c r="I72" s="68"/>
    </row>
    <row r="73" spans="1:9" ht="21" customHeight="1" x14ac:dyDescent="0.35">
      <c r="A73" s="122"/>
      <c r="B73" s="123"/>
      <c r="C73" s="123"/>
      <c r="D73" s="123"/>
      <c r="E73" s="123"/>
      <c r="F73" s="123"/>
      <c r="G73" s="123"/>
      <c r="H73" s="123"/>
      <c r="I73" s="124"/>
    </row>
    <row r="74" spans="1:9" ht="21" customHeight="1" x14ac:dyDescent="0.3">
      <c r="A74" s="221" t="s">
        <v>0</v>
      </c>
      <c r="B74" s="222"/>
      <c r="C74" s="98" t="str">
        <f>'FM-2'!E5</f>
        <v>Ali3</v>
      </c>
      <c r="D74" s="98"/>
      <c r="E74" s="98"/>
      <c r="F74" s="222" t="s">
        <v>1</v>
      </c>
      <c r="G74" s="222"/>
      <c r="H74" s="223" t="str">
        <f>'FM-2'!F5</f>
        <v>khan3</v>
      </c>
      <c r="I74" s="224"/>
    </row>
    <row r="75" spans="1:9" ht="21" customHeight="1" x14ac:dyDescent="0.3">
      <c r="A75" s="221" t="s">
        <v>2</v>
      </c>
      <c r="B75" s="222"/>
      <c r="C75" s="92">
        <f>'FM-2'!C5</f>
        <v>1002</v>
      </c>
      <c r="D75" s="93" t="s">
        <v>3</v>
      </c>
      <c r="E75" s="92" t="str">
        <f>'FM-2'!$B$3</f>
        <v>7TH</v>
      </c>
      <c r="F75" s="222" t="s">
        <v>4</v>
      </c>
      <c r="G75" s="222"/>
      <c r="H75" s="225">
        <f>'FM-2'!D5</f>
        <v>3</v>
      </c>
      <c r="I75" s="226"/>
    </row>
    <row r="76" spans="1:9" ht="21" customHeight="1" thickBot="1" x14ac:dyDescent="0.35">
      <c r="A76" s="227" t="s">
        <v>206</v>
      </c>
      <c r="B76" s="228"/>
      <c r="C76" s="94">
        <f>COUNTIF('Marks Input'!$B$4:$B$63,"&gt;0")</f>
        <v>34</v>
      </c>
      <c r="D76" s="93"/>
      <c r="E76" s="95"/>
      <c r="F76" s="93"/>
      <c r="G76" s="93"/>
      <c r="H76" s="96"/>
      <c r="I76" s="97"/>
    </row>
    <row r="77" spans="1:9" ht="15.75" customHeight="1" thickBot="1" x14ac:dyDescent="0.35">
      <c r="A77" s="229" t="s">
        <v>5</v>
      </c>
      <c r="B77" s="231" t="s">
        <v>6</v>
      </c>
      <c r="C77" s="233" t="s">
        <v>7</v>
      </c>
      <c r="D77" s="235" t="s">
        <v>209</v>
      </c>
      <c r="E77" s="229" t="s">
        <v>8</v>
      </c>
      <c r="F77" s="237" t="s">
        <v>9</v>
      </c>
      <c r="G77" s="238"/>
      <c r="H77" s="238"/>
      <c r="I77" s="239"/>
    </row>
    <row r="78" spans="1:9" ht="30" customHeight="1" thickBot="1" x14ac:dyDescent="0.35">
      <c r="A78" s="230"/>
      <c r="B78" s="232"/>
      <c r="C78" s="234"/>
      <c r="D78" s="236"/>
      <c r="E78" s="230"/>
      <c r="F78" s="125" t="s">
        <v>10</v>
      </c>
      <c r="G78" s="126" t="s">
        <v>11</v>
      </c>
      <c r="H78" s="127" t="s">
        <v>12</v>
      </c>
      <c r="I78" s="128" t="s">
        <v>208</v>
      </c>
    </row>
    <row r="79" spans="1:9" ht="15" customHeight="1" thickBot="1" x14ac:dyDescent="0.35">
      <c r="A79" s="118" t="str">
        <f>'Marks Input'!$G$2</f>
        <v>Urdu</v>
      </c>
      <c r="B79" s="106">
        <f>'Marks Input'!$G$3</f>
        <v>100</v>
      </c>
      <c r="C79" s="99">
        <f>'FM-2'!K5</f>
        <v>68</v>
      </c>
      <c r="D79" s="107">
        <f>C79/B79</f>
        <v>0.68</v>
      </c>
      <c r="E79" s="79" t="str">
        <f>IF(D79&gt;0.899,"A+",IF(D79&gt;0.799,"A",IF(D79&gt;0.699,"B",IF(D79&gt;0.599,"C",IF(D79&gt;0.499,"D",IF(D79&gt;0.399,"E","F"))))))</f>
        <v>C</v>
      </c>
      <c r="F79" s="100">
        <f>MAX('Marks Input'!$G$4:$G$37)</f>
        <v>72</v>
      </c>
      <c r="G79" s="101">
        <f>MIN('Marks Input'!$G$4:$G$37)</f>
        <v>40</v>
      </c>
      <c r="H79" s="108">
        <f>'Marks Input'!$G$40</f>
        <v>62.59</v>
      </c>
      <c r="I79" s="76">
        <f>'FM-2'!V5</f>
        <v>9</v>
      </c>
    </row>
    <row r="80" spans="1:9" ht="15" customHeight="1" thickBot="1" x14ac:dyDescent="0.35">
      <c r="A80" s="119" t="str">
        <f>'Marks Input'!$H$2</f>
        <v>English</v>
      </c>
      <c r="B80" s="109">
        <f>'Marks Input'!$H$3</f>
        <v>100</v>
      </c>
      <c r="C80" s="102">
        <f>'FM-2'!L5</f>
        <v>35</v>
      </c>
      <c r="D80" s="110">
        <f>C80/B80</f>
        <v>0.35</v>
      </c>
      <c r="E80" s="79" t="str">
        <f t="shared" ref="E80:E88" si="5">IF(D80&gt;0.899,"A+",IF(D80&gt;0.799,"A",IF(D80&gt;0.699,"B",IF(D80&gt;0.599,"C",IF(D80&gt;0.499,"D",IF(D80&gt;0.399,"E","F"))))))</f>
        <v>F</v>
      </c>
      <c r="F80" s="103">
        <f>MAX('Marks Input'!$H$4:$H$37)</f>
        <v>74</v>
      </c>
      <c r="G80" s="104">
        <f>MIN('Marks Input'!$H$4:$H$37)</f>
        <v>30</v>
      </c>
      <c r="H80" s="111">
        <f>'Marks Input'!$H$40</f>
        <v>43.26</v>
      </c>
      <c r="I80" s="77">
        <f>'FM-2'!W5</f>
        <v>18</v>
      </c>
    </row>
    <row r="81" spans="1:9" ht="15" customHeight="1" thickBot="1" x14ac:dyDescent="0.35">
      <c r="A81" s="119" t="str">
        <f>'Marks Input'!$I$2</f>
        <v>Islamiyat</v>
      </c>
      <c r="B81" s="109">
        <f>'Marks Input'!$I$3</f>
        <v>100</v>
      </c>
      <c r="C81" s="102">
        <f>'FM-2'!M5</f>
        <v>58</v>
      </c>
      <c r="D81" s="110">
        <f t="shared" ref="D81:D86" si="6">C81/B81</f>
        <v>0.57999999999999996</v>
      </c>
      <c r="E81" s="79" t="str">
        <f t="shared" si="5"/>
        <v>D</v>
      </c>
      <c r="F81" s="103">
        <f>MAX('Marks Input'!$I$4:$I$37)</f>
        <v>88</v>
      </c>
      <c r="G81" s="104">
        <f>MIN('Marks Input'!$I$4:$I$37)</f>
        <v>34</v>
      </c>
      <c r="H81" s="111">
        <f>'Marks Input'!$I$40</f>
        <v>48.29</v>
      </c>
      <c r="I81" s="77">
        <f>'FM-2'!X5</f>
        <v>5</v>
      </c>
    </row>
    <row r="82" spans="1:9" ht="15" customHeight="1" thickBot="1" x14ac:dyDescent="0.35">
      <c r="A82" s="119" t="str">
        <f>'Marks Input'!$J$2</f>
        <v>Pak Studies</v>
      </c>
      <c r="B82" s="109">
        <f>'Marks Input'!$J$3</f>
        <v>100</v>
      </c>
      <c r="C82" s="102">
        <f>'FM-2'!N5</f>
        <v>74</v>
      </c>
      <c r="D82" s="110">
        <f t="shared" si="6"/>
        <v>0.74</v>
      </c>
      <c r="E82" s="79" t="str">
        <f t="shared" si="5"/>
        <v>B</v>
      </c>
      <c r="F82" s="103">
        <f>MAX('Marks Input'!$J$4:$J$37)</f>
        <v>96</v>
      </c>
      <c r="G82" s="104">
        <f>MIN('Marks Input'!$J$4:$J$37)</f>
        <v>34</v>
      </c>
      <c r="H82" s="111">
        <f>'Marks Input'!$J$40</f>
        <v>71.03</v>
      </c>
      <c r="I82" s="77">
        <f>'FM-2'!Y5</f>
        <v>10</v>
      </c>
    </row>
    <row r="83" spans="1:9" ht="15" customHeight="1" thickBot="1" x14ac:dyDescent="0.35">
      <c r="A83" s="119" t="str">
        <f>'Marks Input'!$K$2</f>
        <v>Maths</v>
      </c>
      <c r="B83" s="109">
        <f>'Marks Input'!$K$3</f>
        <v>100</v>
      </c>
      <c r="C83" s="102">
        <f>'FM-2'!O5</f>
        <v>34</v>
      </c>
      <c r="D83" s="110">
        <f t="shared" si="6"/>
        <v>0.34</v>
      </c>
      <c r="E83" s="79" t="str">
        <f t="shared" si="5"/>
        <v>F</v>
      </c>
      <c r="F83" s="103">
        <f>MAX('Marks Input'!$K$4:$K$37)</f>
        <v>94</v>
      </c>
      <c r="G83" s="104">
        <f>MIN('Marks Input'!$K$4:$K$37)</f>
        <v>57</v>
      </c>
      <c r="H83" s="111">
        <f>'Marks Input'!$K$40</f>
        <v>75.819999999999993</v>
      </c>
      <c r="I83" s="77">
        <f>'FM-2'!Z5</f>
        <v>31</v>
      </c>
    </row>
    <row r="84" spans="1:9" ht="15" customHeight="1" thickBot="1" x14ac:dyDescent="0.35">
      <c r="A84" s="119" t="str">
        <f>'Marks Input'!$L$2</f>
        <v>Sci./ Che.</v>
      </c>
      <c r="B84" s="109">
        <f>'Marks Input'!$L$3</f>
        <v>100</v>
      </c>
      <c r="C84" s="102">
        <f>'FM-2'!P5</f>
        <v>90</v>
      </c>
      <c r="D84" s="110">
        <f t="shared" si="6"/>
        <v>0.9</v>
      </c>
      <c r="E84" s="79" t="str">
        <f t="shared" si="5"/>
        <v>A+</v>
      </c>
      <c r="F84" s="103">
        <f>MAX('Marks Input'!$L$4:$L$37)</f>
        <v>98</v>
      </c>
      <c r="G84" s="104">
        <f>MIN('Marks Input'!$L$4:$L$37)</f>
        <v>40</v>
      </c>
      <c r="H84" s="111">
        <f>'Marks Input'!$L$40</f>
        <v>61.09</v>
      </c>
      <c r="I84" s="77">
        <f>'FM-2'!AA5</f>
        <v>10</v>
      </c>
    </row>
    <row r="85" spans="1:9" ht="15" customHeight="1" thickBot="1" x14ac:dyDescent="0.35">
      <c r="A85" s="119" t="str">
        <f>'Marks Input'!$M$2</f>
        <v>Nazra</v>
      </c>
      <c r="B85" s="109">
        <f>'Marks Input'!$M$3</f>
        <v>100</v>
      </c>
      <c r="C85" s="102">
        <f>'FM-2'!Q5</f>
        <v>61</v>
      </c>
      <c r="D85" s="110">
        <f t="shared" si="6"/>
        <v>0.61</v>
      </c>
      <c r="E85" s="79" t="str">
        <f t="shared" si="5"/>
        <v>C</v>
      </c>
      <c r="F85" s="103">
        <f>MAX('Marks Input'!$M$4:$M$37)</f>
        <v>94</v>
      </c>
      <c r="G85" s="104">
        <f>MIN('Marks Input'!$M$4:$M$37)</f>
        <v>32</v>
      </c>
      <c r="H85" s="111">
        <f>'Marks Input'!$M$40</f>
        <v>57.79</v>
      </c>
      <c r="I85" s="77">
        <f>'FM-2'!AB5</f>
        <v>10</v>
      </c>
    </row>
    <row r="86" spans="1:9" ht="15" customHeight="1" thickBot="1" x14ac:dyDescent="0.35">
      <c r="A86" s="119" t="str">
        <f>'Marks Input'!$N$2</f>
        <v>Physics</v>
      </c>
      <c r="B86" s="109">
        <f>'Marks Input'!$N$3</f>
        <v>100</v>
      </c>
      <c r="C86" s="102">
        <f>'FM-2'!R5</f>
        <v>77</v>
      </c>
      <c r="D86" s="110">
        <f t="shared" si="6"/>
        <v>0.77</v>
      </c>
      <c r="E86" s="79" t="str">
        <f t="shared" si="5"/>
        <v>B</v>
      </c>
      <c r="F86" s="103">
        <f>MAX('Marks Input'!$N$4:$N$37)</f>
        <v>60</v>
      </c>
      <c r="G86" s="104">
        <f>MIN('Marks Input'!$N$4:$N$37)</f>
        <v>18</v>
      </c>
      <c r="H86" s="111">
        <f>'Marks Input'!$N$40</f>
        <v>42.94</v>
      </c>
      <c r="I86" s="77">
        <f>'FM-2'!AC5</f>
        <v>11</v>
      </c>
    </row>
    <row r="87" spans="1:9" ht="15" customHeight="1" thickBot="1" x14ac:dyDescent="0.35">
      <c r="A87" s="120" t="str">
        <f>'Marks Input'!$O$2</f>
        <v>Bio./Comp.</v>
      </c>
      <c r="B87" s="112">
        <f>'Marks Input'!$O$3</f>
        <v>100</v>
      </c>
      <c r="C87" s="113">
        <f>'FM-2'!S5</f>
        <v>61</v>
      </c>
      <c r="D87" s="114">
        <f>C87/B87</f>
        <v>0.61</v>
      </c>
      <c r="E87" s="80" t="str">
        <f t="shared" si="5"/>
        <v>C</v>
      </c>
      <c r="F87" s="115">
        <f>MAX('Marks Input'!$O$4:$O$37)</f>
        <v>40</v>
      </c>
      <c r="G87" s="116">
        <f>MIN('Marks Input'!$O$4:$O$37)</f>
        <v>14</v>
      </c>
      <c r="H87" s="117">
        <f>'Marks Input'!$O$40</f>
        <v>30.44</v>
      </c>
      <c r="I87" s="78">
        <f>'FM-2'!AD5</f>
        <v>10</v>
      </c>
    </row>
    <row r="88" spans="1:9" ht="21" customHeight="1" thickBot="1" x14ac:dyDescent="0.45">
      <c r="A88" s="69" t="s">
        <v>14</v>
      </c>
      <c r="B88" s="70">
        <f>'Marks Input'!$P$3</f>
        <v>900</v>
      </c>
      <c r="C88" s="71">
        <f>'FM-2'!U5</f>
        <v>534</v>
      </c>
      <c r="D88" s="72">
        <f t="shared" ref="D88" si="7">C88/B88</f>
        <v>0.59333333333333338</v>
      </c>
      <c r="E88" s="73" t="str">
        <f t="shared" si="5"/>
        <v>D</v>
      </c>
      <c r="F88" s="70">
        <f>MAX('Marks Input'!$P$4:$P$37)</f>
        <v>673</v>
      </c>
      <c r="G88" s="71">
        <f>MIN('Marks Input'!$P$4:$P$37)</f>
        <v>322</v>
      </c>
      <c r="H88" s="74">
        <f>'Marks Input'!$P$40</f>
        <v>493.26</v>
      </c>
      <c r="I88" s="75">
        <f>'FM-2'!AF5</f>
        <v>13</v>
      </c>
    </row>
    <row r="89" spans="1:9" ht="21" customHeight="1" thickBot="1" x14ac:dyDescent="0.35">
      <c r="A89" s="196" t="s">
        <v>15</v>
      </c>
      <c r="B89" s="197"/>
      <c r="C89" s="197"/>
      <c r="H89" s="82"/>
      <c r="I89" s="83"/>
    </row>
    <row r="90" spans="1:9" ht="35.1" customHeight="1" x14ac:dyDescent="0.3">
      <c r="A90" s="198" t="str">
        <f>IF(D88&gt;0.399,"Promoted Successfully","Not Promoted")</f>
        <v>Promoted Successfully</v>
      </c>
      <c r="B90" s="199"/>
      <c r="C90" s="199"/>
      <c r="D90" s="199"/>
      <c r="E90" s="199"/>
      <c r="F90" s="199"/>
      <c r="G90" s="199"/>
      <c r="H90" s="199"/>
      <c r="I90" s="200"/>
    </row>
    <row r="91" spans="1:9" ht="35.1" customHeight="1" thickBot="1" x14ac:dyDescent="0.35">
      <c r="A91" s="201"/>
      <c r="B91" s="202"/>
      <c r="C91" s="202"/>
      <c r="D91" s="202"/>
      <c r="E91" s="202"/>
      <c r="F91" s="202"/>
      <c r="G91" s="202"/>
      <c r="H91" s="202"/>
      <c r="I91" s="203"/>
    </row>
    <row r="92" spans="1:9" ht="30" customHeight="1" x14ac:dyDescent="0.3">
      <c r="A92" s="84"/>
      <c r="B92" s="85"/>
      <c r="C92" s="85"/>
      <c r="D92" s="121" t="s">
        <v>140</v>
      </c>
      <c r="E92" s="86"/>
      <c r="F92" s="86"/>
      <c r="G92" s="204"/>
      <c r="H92" s="204"/>
      <c r="I92" s="205"/>
    </row>
    <row r="93" spans="1:9" ht="30" customHeight="1" x14ac:dyDescent="0.3">
      <c r="A93" s="84"/>
      <c r="D93" s="121" t="s">
        <v>16</v>
      </c>
      <c r="E93" s="86"/>
      <c r="F93" s="86"/>
      <c r="G93" s="206"/>
      <c r="H93" s="206"/>
      <c r="I93" s="207"/>
    </row>
    <row r="94" spans="1:9" ht="15" customHeight="1" x14ac:dyDescent="0.3">
      <c r="A94" s="84"/>
      <c r="F94" s="208" t="str">
        <f>A71</f>
        <v>APS Hazro</v>
      </c>
      <c r="G94" s="208"/>
      <c r="H94" s="208"/>
      <c r="I94" s="209"/>
    </row>
    <row r="95" spans="1:9" ht="15" customHeight="1" thickBot="1" x14ac:dyDescent="0.35">
      <c r="A95" s="210"/>
      <c r="B95" s="211"/>
      <c r="C95" s="211"/>
      <c r="D95" s="211"/>
      <c r="E95" s="211"/>
      <c r="F95" s="211"/>
      <c r="G95" s="211"/>
      <c r="H95" s="211"/>
      <c r="I95" s="212"/>
    </row>
    <row r="96" spans="1:9" ht="15" customHeight="1" x14ac:dyDescent="0.3">
      <c r="A96" s="213"/>
      <c r="B96" s="214"/>
      <c r="C96" s="214"/>
      <c r="D96" s="214"/>
      <c r="E96" s="214"/>
      <c r="F96" s="214"/>
      <c r="G96" s="214"/>
      <c r="H96" s="214"/>
      <c r="I96" s="215"/>
    </row>
    <row r="97" spans="1:9" ht="21" customHeight="1" x14ac:dyDescent="0.35">
      <c r="A97" s="87" t="s">
        <v>17</v>
      </c>
      <c r="B97" s="105">
        <f>H75</f>
        <v>3</v>
      </c>
      <c r="C97" s="88"/>
      <c r="D97" s="89" t="s">
        <v>3</v>
      </c>
      <c r="E97" s="89" t="str">
        <f>E75</f>
        <v>7TH</v>
      </c>
      <c r="F97" s="90" t="s">
        <v>18</v>
      </c>
      <c r="G97" s="216" t="str">
        <f>E88</f>
        <v>D</v>
      </c>
      <c r="H97" s="216"/>
      <c r="I97" s="217"/>
    </row>
    <row r="98" spans="1:9" ht="30" customHeight="1" x14ac:dyDescent="0.3">
      <c r="A98" s="176" t="s">
        <v>210</v>
      </c>
      <c r="B98" s="177"/>
      <c r="C98" s="218"/>
      <c r="D98" s="218"/>
      <c r="E98" s="187" t="s">
        <v>19</v>
      </c>
      <c r="F98" s="187"/>
      <c r="G98" s="219"/>
      <c r="H98" s="219"/>
      <c r="I98" s="220"/>
    </row>
    <row r="99" spans="1:9" ht="30" customHeight="1" x14ac:dyDescent="0.3">
      <c r="A99" s="176" t="s">
        <v>20</v>
      </c>
      <c r="B99" s="177"/>
      <c r="C99" s="178"/>
      <c r="D99" s="178"/>
      <c r="E99" s="178"/>
      <c r="F99" s="178"/>
      <c r="G99" s="178"/>
      <c r="H99" s="178"/>
      <c r="I99" s="179"/>
    </row>
    <row r="100" spans="1:9" ht="30" customHeight="1" x14ac:dyDescent="0.3">
      <c r="A100" s="180"/>
      <c r="B100" s="181"/>
      <c r="C100" s="181"/>
      <c r="D100" s="181"/>
      <c r="E100" s="181"/>
      <c r="F100" s="181"/>
      <c r="G100" s="181"/>
      <c r="H100" s="181"/>
      <c r="I100" s="182"/>
    </row>
    <row r="101" spans="1:9" ht="21" customHeight="1" x14ac:dyDescent="0.3">
      <c r="A101" s="183"/>
      <c r="B101" s="184"/>
      <c r="C101" s="184"/>
      <c r="D101" s="184"/>
      <c r="E101" s="184"/>
      <c r="F101" s="184"/>
      <c r="G101" s="184"/>
      <c r="H101" s="184"/>
      <c r="I101" s="185"/>
    </row>
    <row r="102" spans="1:9" ht="21" customHeight="1" x14ac:dyDescent="0.3">
      <c r="A102" s="91" t="s">
        <v>207</v>
      </c>
      <c r="B102" s="186">
        <f ca="1">TODAY()</f>
        <v>46315</v>
      </c>
      <c r="C102" s="186"/>
      <c r="D102" s="187" t="s">
        <v>141</v>
      </c>
      <c r="E102" s="187"/>
      <c r="F102" s="187"/>
      <c r="G102" s="188"/>
      <c r="H102" s="188"/>
      <c r="I102" s="189"/>
    </row>
    <row r="103" spans="1:9" ht="21" customHeight="1" x14ac:dyDescent="0.3">
      <c r="A103" s="190" t="s">
        <v>211</v>
      </c>
      <c r="B103" s="191"/>
      <c r="C103" s="191"/>
      <c r="D103" s="191"/>
      <c r="E103" s="191"/>
      <c r="F103" s="191"/>
      <c r="G103" s="191"/>
      <c r="H103" s="191"/>
      <c r="I103" s="192"/>
    </row>
    <row r="104" spans="1:9" ht="15" customHeight="1" x14ac:dyDescent="0.3">
      <c r="A104" s="190"/>
      <c r="B104" s="191"/>
      <c r="C104" s="191"/>
      <c r="D104" s="191"/>
      <c r="E104" s="191"/>
      <c r="F104" s="191"/>
      <c r="G104" s="191"/>
      <c r="H104" s="191"/>
      <c r="I104" s="192"/>
    </row>
    <row r="105" spans="1:9" ht="15" thickBot="1" x14ac:dyDescent="0.35">
      <c r="A105" s="193"/>
      <c r="B105" s="194"/>
      <c r="C105" s="194"/>
      <c r="D105" s="194"/>
      <c r="E105" s="194"/>
      <c r="F105" s="194"/>
      <c r="G105" s="194"/>
      <c r="H105" s="194"/>
      <c r="I105" s="195"/>
    </row>
    <row r="106" spans="1:9" ht="41.1" customHeight="1" thickBot="1" x14ac:dyDescent="0.35">
      <c r="A106" s="240" t="str">
        <f>'FM-2'!$I$3</f>
        <v>APS Hazro</v>
      </c>
      <c r="B106" s="241"/>
      <c r="C106" s="241"/>
      <c r="D106" s="241"/>
      <c r="E106" s="241"/>
      <c r="F106" s="241"/>
      <c r="G106" s="241"/>
      <c r="H106" s="241"/>
      <c r="I106" s="242"/>
    </row>
    <row r="107" spans="1:9" ht="21" customHeight="1" thickBot="1" x14ac:dyDescent="0.4">
      <c r="A107" s="129" t="str">
        <f>'FM-2'!$J$3</f>
        <v>ANNUAL EXAM 2024</v>
      </c>
      <c r="B107" s="67"/>
      <c r="C107" s="67"/>
      <c r="D107" s="67"/>
      <c r="E107" s="67"/>
      <c r="F107" s="67"/>
      <c r="G107" s="67"/>
      <c r="H107" s="67"/>
      <c r="I107" s="68"/>
    </row>
    <row r="108" spans="1:9" ht="21" customHeight="1" x14ac:dyDescent="0.35">
      <c r="A108" s="122"/>
      <c r="B108" s="123"/>
      <c r="C108" s="123"/>
      <c r="D108" s="123"/>
      <c r="E108" s="123"/>
      <c r="F108" s="123"/>
      <c r="G108" s="123"/>
      <c r="H108" s="123"/>
      <c r="I108" s="124"/>
    </row>
    <row r="109" spans="1:9" ht="21" customHeight="1" x14ac:dyDescent="0.3">
      <c r="A109" s="221" t="s">
        <v>0</v>
      </c>
      <c r="B109" s="222"/>
      <c r="C109" s="98" t="str">
        <f>'FM-2'!E6</f>
        <v>Ali4</v>
      </c>
      <c r="D109" s="98"/>
      <c r="E109" s="98"/>
      <c r="F109" s="222" t="s">
        <v>1</v>
      </c>
      <c r="G109" s="222"/>
      <c r="H109" s="223" t="str">
        <f>'FM-2'!F6</f>
        <v>Khan 4</v>
      </c>
      <c r="I109" s="224"/>
    </row>
    <row r="110" spans="1:9" ht="21" customHeight="1" x14ac:dyDescent="0.3">
      <c r="A110" s="221" t="s">
        <v>2</v>
      </c>
      <c r="B110" s="222"/>
      <c r="C110" s="92">
        <f>'FM-2'!C6</f>
        <v>1003</v>
      </c>
      <c r="D110" s="93" t="s">
        <v>3</v>
      </c>
      <c r="E110" s="92" t="str">
        <f>'FM-2'!$B$3</f>
        <v>7TH</v>
      </c>
      <c r="F110" s="222" t="s">
        <v>4</v>
      </c>
      <c r="G110" s="222"/>
      <c r="H110" s="225">
        <f>'FM-2'!D6</f>
        <v>4</v>
      </c>
      <c r="I110" s="226"/>
    </row>
    <row r="111" spans="1:9" ht="21" customHeight="1" thickBot="1" x14ac:dyDescent="0.35">
      <c r="A111" s="227" t="s">
        <v>206</v>
      </c>
      <c r="B111" s="228"/>
      <c r="C111" s="94">
        <f>COUNTIF('Marks Input'!$B$4:$B$63,"&gt;0")</f>
        <v>34</v>
      </c>
      <c r="D111" s="93"/>
      <c r="E111" s="95"/>
      <c r="F111" s="93"/>
      <c r="G111" s="93"/>
      <c r="H111" s="96"/>
      <c r="I111" s="97"/>
    </row>
    <row r="112" spans="1:9" ht="15.75" customHeight="1" thickBot="1" x14ac:dyDescent="0.35">
      <c r="A112" s="229" t="s">
        <v>5</v>
      </c>
      <c r="B112" s="231" t="s">
        <v>6</v>
      </c>
      <c r="C112" s="233" t="s">
        <v>7</v>
      </c>
      <c r="D112" s="235" t="s">
        <v>209</v>
      </c>
      <c r="E112" s="229" t="s">
        <v>8</v>
      </c>
      <c r="F112" s="237" t="s">
        <v>9</v>
      </c>
      <c r="G112" s="238"/>
      <c r="H112" s="238"/>
      <c r="I112" s="239"/>
    </row>
    <row r="113" spans="1:9" ht="30" customHeight="1" thickBot="1" x14ac:dyDescent="0.35">
      <c r="A113" s="230"/>
      <c r="B113" s="232"/>
      <c r="C113" s="234"/>
      <c r="D113" s="236"/>
      <c r="E113" s="230"/>
      <c r="F113" s="125" t="s">
        <v>10</v>
      </c>
      <c r="G113" s="126" t="s">
        <v>11</v>
      </c>
      <c r="H113" s="127" t="s">
        <v>12</v>
      </c>
      <c r="I113" s="128" t="s">
        <v>208</v>
      </c>
    </row>
    <row r="114" spans="1:9" ht="15" customHeight="1" thickBot="1" x14ac:dyDescent="0.35">
      <c r="A114" s="118" t="str">
        <f>'Marks Input'!$G$2</f>
        <v>Urdu</v>
      </c>
      <c r="B114" s="106">
        <f>'Marks Input'!$G$3</f>
        <v>100</v>
      </c>
      <c r="C114" s="99">
        <f>'FM-2'!K6</f>
        <v>64</v>
      </c>
      <c r="D114" s="107">
        <f>C114/B114</f>
        <v>0.64</v>
      </c>
      <c r="E114" s="79" t="str">
        <f>IF(D114&gt;0.899,"A+",IF(D114&gt;0.799,"A",IF(D114&gt;0.699,"B",IF(D114&gt;0.599,"C",IF(D114&gt;0.499,"D",IF(D114&gt;0.399,"E","F"))))))</f>
        <v>C</v>
      </c>
      <c r="F114" s="100">
        <f>MAX('Marks Input'!$G$4:$G$37)</f>
        <v>72</v>
      </c>
      <c r="G114" s="101">
        <f>MIN('Marks Input'!$G$4:$G$37)</f>
        <v>40</v>
      </c>
      <c r="H114" s="108">
        <f>'Marks Input'!$G$40</f>
        <v>62.59</v>
      </c>
      <c r="I114" s="76">
        <f>'FM-2'!V6</f>
        <v>18</v>
      </c>
    </row>
    <row r="115" spans="1:9" ht="15" customHeight="1" thickBot="1" x14ac:dyDescent="0.35">
      <c r="A115" s="119" t="str">
        <f>'Marks Input'!$H$2</f>
        <v>English</v>
      </c>
      <c r="B115" s="109">
        <f>'Marks Input'!$H$3</f>
        <v>100</v>
      </c>
      <c r="C115" s="102">
        <f>'FM-2'!L6</f>
        <v>39</v>
      </c>
      <c r="D115" s="110">
        <f>C115/B115</f>
        <v>0.39</v>
      </c>
      <c r="E115" s="79" t="str">
        <f t="shared" ref="E115:E123" si="8">IF(D115&gt;0.899,"A+",IF(D115&gt;0.799,"A",IF(D115&gt;0.699,"B",IF(D115&gt;0.599,"C",IF(D115&gt;0.499,"D",IF(D115&gt;0.399,"E","F"))))))</f>
        <v>F</v>
      </c>
      <c r="F115" s="103">
        <f>MAX('Marks Input'!$H$4:$H$37)</f>
        <v>74</v>
      </c>
      <c r="G115" s="104">
        <f>MIN('Marks Input'!$H$4:$H$37)</f>
        <v>30</v>
      </c>
      <c r="H115" s="111">
        <f>'Marks Input'!$H$40</f>
        <v>43.26</v>
      </c>
      <c r="I115" s="77">
        <f>'FM-2'!W6</f>
        <v>17</v>
      </c>
    </row>
    <row r="116" spans="1:9" ht="15" customHeight="1" thickBot="1" x14ac:dyDescent="0.35">
      <c r="A116" s="119" t="str">
        <f>'Marks Input'!$I$2</f>
        <v>Islamiyat</v>
      </c>
      <c r="B116" s="109">
        <f>'Marks Input'!$I$3</f>
        <v>100</v>
      </c>
      <c r="C116" s="102">
        <f>'FM-2'!M6</f>
        <v>31</v>
      </c>
      <c r="D116" s="110">
        <f t="shared" ref="D116:D121" si="9">C116/B116</f>
        <v>0.31</v>
      </c>
      <c r="E116" s="79" t="str">
        <f t="shared" si="8"/>
        <v>F</v>
      </c>
      <c r="F116" s="103">
        <f>MAX('Marks Input'!$I$4:$I$37)</f>
        <v>88</v>
      </c>
      <c r="G116" s="104">
        <f>MIN('Marks Input'!$I$4:$I$37)</f>
        <v>34</v>
      </c>
      <c r="H116" s="111">
        <f>'Marks Input'!$I$40</f>
        <v>48.29</v>
      </c>
      <c r="I116" s="77">
        <f>'FM-2'!X6</f>
        <v>26</v>
      </c>
    </row>
    <row r="117" spans="1:9" ht="15" customHeight="1" thickBot="1" x14ac:dyDescent="0.35">
      <c r="A117" s="119" t="str">
        <f>'Marks Input'!$J$2</f>
        <v>Pak Studies</v>
      </c>
      <c r="B117" s="109">
        <f>'Marks Input'!$J$3</f>
        <v>100</v>
      </c>
      <c r="C117" s="102">
        <f>'FM-2'!N6</f>
        <v>40</v>
      </c>
      <c r="D117" s="110">
        <f t="shared" si="9"/>
        <v>0.4</v>
      </c>
      <c r="E117" s="79" t="str">
        <f t="shared" si="8"/>
        <v>E</v>
      </c>
      <c r="F117" s="103">
        <f>MAX('Marks Input'!$J$4:$J$37)</f>
        <v>96</v>
      </c>
      <c r="G117" s="104">
        <f>MIN('Marks Input'!$J$4:$J$37)</f>
        <v>34</v>
      </c>
      <c r="H117" s="111">
        <f>'Marks Input'!$J$40</f>
        <v>71.03</v>
      </c>
      <c r="I117" s="77">
        <f>'FM-2'!Y6</f>
        <v>31</v>
      </c>
    </row>
    <row r="118" spans="1:9" ht="15" customHeight="1" thickBot="1" x14ac:dyDescent="0.35">
      <c r="A118" s="119" t="str">
        <f>'Marks Input'!$K$2</f>
        <v>Maths</v>
      </c>
      <c r="B118" s="109">
        <f>'Marks Input'!$K$3</f>
        <v>100</v>
      </c>
      <c r="C118" s="102">
        <f>'FM-2'!O6</f>
        <v>40</v>
      </c>
      <c r="D118" s="110">
        <f t="shared" si="9"/>
        <v>0.4</v>
      </c>
      <c r="E118" s="79" t="str">
        <f t="shared" si="8"/>
        <v>E</v>
      </c>
      <c r="F118" s="103">
        <f>MAX('Marks Input'!$K$4:$K$37)</f>
        <v>94</v>
      </c>
      <c r="G118" s="104">
        <f>MIN('Marks Input'!$K$4:$K$37)</f>
        <v>57</v>
      </c>
      <c r="H118" s="111">
        <f>'Marks Input'!$K$40</f>
        <v>75.819999999999993</v>
      </c>
      <c r="I118" s="77">
        <f>'FM-2'!Z6</f>
        <v>19</v>
      </c>
    </row>
    <row r="119" spans="1:9" ht="15" customHeight="1" thickBot="1" x14ac:dyDescent="0.35">
      <c r="A119" s="119" t="str">
        <f>'Marks Input'!$L$2</f>
        <v>Sci./ Che.</v>
      </c>
      <c r="B119" s="109">
        <f>'Marks Input'!$L$3</f>
        <v>100</v>
      </c>
      <c r="C119" s="102">
        <f>'FM-2'!P6</f>
        <v>53</v>
      </c>
      <c r="D119" s="110">
        <f t="shared" si="9"/>
        <v>0.53</v>
      </c>
      <c r="E119" s="79" t="str">
        <f t="shared" si="8"/>
        <v>D</v>
      </c>
      <c r="F119" s="103">
        <f>MAX('Marks Input'!$L$4:$L$37)</f>
        <v>98</v>
      </c>
      <c r="G119" s="104">
        <f>MIN('Marks Input'!$L$4:$L$37)</f>
        <v>40</v>
      </c>
      <c r="H119" s="111">
        <f>'Marks Input'!$L$40</f>
        <v>61.09</v>
      </c>
      <c r="I119" s="77">
        <f>'FM-2'!AA6</f>
        <v>25</v>
      </c>
    </row>
    <row r="120" spans="1:9" ht="15" customHeight="1" thickBot="1" x14ac:dyDescent="0.35">
      <c r="A120" s="119" t="str">
        <f>'Marks Input'!$M$2</f>
        <v>Nazra</v>
      </c>
      <c r="B120" s="109">
        <f>'Marks Input'!$M$3</f>
        <v>100</v>
      </c>
      <c r="C120" s="102">
        <f>'FM-2'!Q6</f>
        <v>45</v>
      </c>
      <c r="D120" s="110">
        <f t="shared" si="9"/>
        <v>0.45</v>
      </c>
      <c r="E120" s="79" t="str">
        <f t="shared" si="8"/>
        <v>E</v>
      </c>
      <c r="F120" s="103">
        <f>MAX('Marks Input'!$M$4:$M$37)</f>
        <v>94</v>
      </c>
      <c r="G120" s="104">
        <f>MIN('Marks Input'!$M$4:$M$37)</f>
        <v>32</v>
      </c>
      <c r="H120" s="111">
        <f>'Marks Input'!$M$40</f>
        <v>57.79</v>
      </c>
      <c r="I120" s="77">
        <f>'FM-2'!AB6</f>
        <v>26</v>
      </c>
    </row>
    <row r="121" spans="1:9" ht="15" customHeight="1" thickBot="1" x14ac:dyDescent="0.35">
      <c r="A121" s="119" t="str">
        <f>'Marks Input'!$N$2</f>
        <v>Physics</v>
      </c>
      <c r="B121" s="109">
        <f>'Marks Input'!$N$3</f>
        <v>100</v>
      </c>
      <c r="C121" s="102">
        <f>'FM-2'!R6</f>
        <v>80</v>
      </c>
      <c r="D121" s="110">
        <f t="shared" si="9"/>
        <v>0.8</v>
      </c>
      <c r="E121" s="79" t="str">
        <f t="shared" si="8"/>
        <v>A</v>
      </c>
      <c r="F121" s="103">
        <f>MAX('Marks Input'!$N$4:$N$37)</f>
        <v>60</v>
      </c>
      <c r="G121" s="104">
        <f>MIN('Marks Input'!$N$4:$N$37)</f>
        <v>18</v>
      </c>
      <c r="H121" s="111">
        <f>'Marks Input'!$N$40</f>
        <v>42.94</v>
      </c>
      <c r="I121" s="77">
        <f>'FM-2'!AC6</f>
        <v>8</v>
      </c>
    </row>
    <row r="122" spans="1:9" ht="15" customHeight="1" thickBot="1" x14ac:dyDescent="0.35">
      <c r="A122" s="120" t="str">
        <f>'Marks Input'!$O$2</f>
        <v>Bio./Comp.</v>
      </c>
      <c r="B122" s="112">
        <f>'Marks Input'!$O$3</f>
        <v>100</v>
      </c>
      <c r="C122" s="113">
        <f>'FM-2'!S6</f>
        <v>45</v>
      </c>
      <c r="D122" s="114">
        <f>C122/B122</f>
        <v>0.45</v>
      </c>
      <c r="E122" s="80" t="str">
        <f t="shared" si="8"/>
        <v>E</v>
      </c>
      <c r="F122" s="115">
        <f>MAX('Marks Input'!$O$4:$O$37)</f>
        <v>40</v>
      </c>
      <c r="G122" s="116">
        <f>MIN('Marks Input'!$O$4:$O$37)</f>
        <v>14</v>
      </c>
      <c r="H122" s="117">
        <f>'Marks Input'!$O$40</f>
        <v>30.44</v>
      </c>
      <c r="I122" s="78">
        <f>'FM-2'!AD6</f>
        <v>26</v>
      </c>
    </row>
    <row r="123" spans="1:9" ht="21" customHeight="1" thickBot="1" x14ac:dyDescent="0.45">
      <c r="A123" s="69" t="s">
        <v>14</v>
      </c>
      <c r="B123" s="70">
        <f>'Marks Input'!$P$3</f>
        <v>900</v>
      </c>
      <c r="C123" s="71">
        <f>'FM-2'!U6</f>
        <v>413</v>
      </c>
      <c r="D123" s="72">
        <f t="shared" ref="D123" si="10">C123/B123</f>
        <v>0.4588888888888889</v>
      </c>
      <c r="E123" s="73" t="str">
        <f t="shared" si="8"/>
        <v>E</v>
      </c>
      <c r="F123" s="70">
        <f>MAX('Marks Input'!$P$4:$P$37)</f>
        <v>673</v>
      </c>
      <c r="G123" s="71">
        <f>MIN('Marks Input'!$P$4:$P$37)</f>
        <v>322</v>
      </c>
      <c r="H123" s="74">
        <f>'Marks Input'!$P$40</f>
        <v>493.26</v>
      </c>
      <c r="I123" s="75">
        <f>'FM-2'!AF6</f>
        <v>26</v>
      </c>
    </row>
    <row r="124" spans="1:9" ht="21" customHeight="1" thickBot="1" x14ac:dyDescent="0.35">
      <c r="A124" s="196" t="s">
        <v>15</v>
      </c>
      <c r="B124" s="197"/>
      <c r="C124" s="197"/>
      <c r="H124" s="82"/>
      <c r="I124" s="83"/>
    </row>
    <row r="125" spans="1:9" ht="35.1" customHeight="1" x14ac:dyDescent="0.3">
      <c r="A125" s="198" t="str">
        <f>IF(D123&gt;0.399,"Promoted Successfully","Not Promoted")</f>
        <v>Promoted Successfully</v>
      </c>
      <c r="B125" s="199"/>
      <c r="C125" s="199"/>
      <c r="D125" s="199"/>
      <c r="E125" s="199"/>
      <c r="F125" s="199"/>
      <c r="G125" s="199"/>
      <c r="H125" s="199"/>
      <c r="I125" s="200"/>
    </row>
    <row r="126" spans="1:9" ht="35.1" customHeight="1" thickBot="1" x14ac:dyDescent="0.35">
      <c r="A126" s="201"/>
      <c r="B126" s="202"/>
      <c r="C126" s="202"/>
      <c r="D126" s="202"/>
      <c r="E126" s="202"/>
      <c r="F126" s="202"/>
      <c r="G126" s="202"/>
      <c r="H126" s="202"/>
      <c r="I126" s="203"/>
    </row>
    <row r="127" spans="1:9" ht="30" customHeight="1" x14ac:dyDescent="0.3">
      <c r="A127" s="84"/>
      <c r="B127" s="85"/>
      <c r="C127" s="85"/>
      <c r="D127" s="121" t="s">
        <v>140</v>
      </c>
      <c r="E127" s="86"/>
      <c r="F127" s="86"/>
      <c r="G127" s="204"/>
      <c r="H127" s="204"/>
      <c r="I127" s="205"/>
    </row>
    <row r="128" spans="1:9" ht="30" customHeight="1" x14ac:dyDescent="0.3">
      <c r="A128" s="84"/>
      <c r="D128" s="121" t="s">
        <v>16</v>
      </c>
      <c r="E128" s="86"/>
      <c r="F128" s="86"/>
      <c r="G128" s="206"/>
      <c r="H128" s="206"/>
      <c r="I128" s="207"/>
    </row>
    <row r="129" spans="1:9" ht="15" customHeight="1" x14ac:dyDescent="0.3">
      <c r="A129" s="84"/>
      <c r="F129" s="208" t="str">
        <f>A106</f>
        <v>APS Hazro</v>
      </c>
      <c r="G129" s="208"/>
      <c r="H129" s="208"/>
      <c r="I129" s="209"/>
    </row>
    <row r="130" spans="1:9" ht="15" customHeight="1" thickBot="1" x14ac:dyDescent="0.35">
      <c r="A130" s="210"/>
      <c r="B130" s="211"/>
      <c r="C130" s="211"/>
      <c r="D130" s="211"/>
      <c r="E130" s="211"/>
      <c r="F130" s="211"/>
      <c r="G130" s="211"/>
      <c r="H130" s="211"/>
      <c r="I130" s="212"/>
    </row>
    <row r="131" spans="1:9" ht="15" customHeight="1" x14ac:dyDescent="0.3">
      <c r="A131" s="213"/>
      <c r="B131" s="214"/>
      <c r="C131" s="214"/>
      <c r="D131" s="214"/>
      <c r="E131" s="214"/>
      <c r="F131" s="214"/>
      <c r="G131" s="214"/>
      <c r="H131" s="214"/>
      <c r="I131" s="215"/>
    </row>
    <row r="132" spans="1:9" ht="21" customHeight="1" x14ac:dyDescent="0.35">
      <c r="A132" s="87" t="s">
        <v>17</v>
      </c>
      <c r="B132" s="105">
        <f>H110</f>
        <v>4</v>
      </c>
      <c r="C132" s="88"/>
      <c r="D132" s="89" t="s">
        <v>3</v>
      </c>
      <c r="E132" s="89" t="str">
        <f>E110</f>
        <v>7TH</v>
      </c>
      <c r="F132" s="90" t="s">
        <v>18</v>
      </c>
      <c r="G132" s="216" t="str">
        <f>E123</f>
        <v>E</v>
      </c>
      <c r="H132" s="216"/>
      <c r="I132" s="217"/>
    </row>
    <row r="133" spans="1:9" ht="30" customHeight="1" x14ac:dyDescent="0.3">
      <c r="A133" s="176" t="s">
        <v>210</v>
      </c>
      <c r="B133" s="177"/>
      <c r="C133" s="218"/>
      <c r="D133" s="218"/>
      <c r="E133" s="187" t="s">
        <v>19</v>
      </c>
      <c r="F133" s="187"/>
      <c r="G133" s="219"/>
      <c r="H133" s="219"/>
      <c r="I133" s="220"/>
    </row>
    <row r="134" spans="1:9" ht="30" customHeight="1" x14ac:dyDescent="0.3">
      <c r="A134" s="176" t="s">
        <v>20</v>
      </c>
      <c r="B134" s="177"/>
      <c r="C134" s="178"/>
      <c r="D134" s="178"/>
      <c r="E134" s="178"/>
      <c r="F134" s="178"/>
      <c r="G134" s="178"/>
      <c r="H134" s="178"/>
      <c r="I134" s="179"/>
    </row>
    <row r="135" spans="1:9" ht="30" customHeight="1" x14ac:dyDescent="0.3">
      <c r="A135" s="180"/>
      <c r="B135" s="181"/>
      <c r="C135" s="181"/>
      <c r="D135" s="181"/>
      <c r="E135" s="181"/>
      <c r="F135" s="181"/>
      <c r="G135" s="181"/>
      <c r="H135" s="181"/>
      <c r="I135" s="182"/>
    </row>
    <row r="136" spans="1:9" ht="21" customHeight="1" x14ac:dyDescent="0.3">
      <c r="A136" s="183"/>
      <c r="B136" s="184"/>
      <c r="C136" s="184"/>
      <c r="D136" s="184"/>
      <c r="E136" s="184"/>
      <c r="F136" s="184"/>
      <c r="G136" s="184"/>
      <c r="H136" s="184"/>
      <c r="I136" s="185"/>
    </row>
    <row r="137" spans="1:9" ht="21" customHeight="1" x14ac:dyDescent="0.3">
      <c r="A137" s="91" t="s">
        <v>207</v>
      </c>
      <c r="B137" s="186">
        <f ca="1">TODAY()</f>
        <v>46315</v>
      </c>
      <c r="C137" s="186"/>
      <c r="D137" s="187" t="s">
        <v>141</v>
      </c>
      <c r="E137" s="187"/>
      <c r="F137" s="187"/>
      <c r="G137" s="188"/>
      <c r="H137" s="188"/>
      <c r="I137" s="189"/>
    </row>
    <row r="138" spans="1:9" ht="21" customHeight="1" x14ac:dyDescent="0.3">
      <c r="A138" s="190" t="s">
        <v>211</v>
      </c>
      <c r="B138" s="191"/>
      <c r="C138" s="191"/>
      <c r="D138" s="191"/>
      <c r="E138" s="191"/>
      <c r="F138" s="191"/>
      <c r="G138" s="191"/>
      <c r="H138" s="191"/>
      <c r="I138" s="192"/>
    </row>
    <row r="139" spans="1:9" ht="15" customHeight="1" x14ac:dyDescent="0.3">
      <c r="A139" s="190"/>
      <c r="B139" s="191"/>
      <c r="C139" s="191"/>
      <c r="D139" s="191"/>
      <c r="E139" s="191"/>
      <c r="F139" s="191"/>
      <c r="G139" s="191"/>
      <c r="H139" s="191"/>
      <c r="I139" s="192"/>
    </row>
    <row r="140" spans="1:9" ht="15" thickBot="1" x14ac:dyDescent="0.35">
      <c r="A140" s="193"/>
      <c r="B140" s="194"/>
      <c r="C140" s="194"/>
      <c r="D140" s="194"/>
      <c r="E140" s="194"/>
      <c r="F140" s="194"/>
      <c r="G140" s="194"/>
      <c r="H140" s="194"/>
      <c r="I140" s="195"/>
    </row>
    <row r="141" spans="1:9" ht="41.1" customHeight="1" thickBot="1" x14ac:dyDescent="0.35">
      <c r="A141" s="240" t="str">
        <f>'FM-2'!$I$3</f>
        <v>APS Hazro</v>
      </c>
      <c r="B141" s="241"/>
      <c r="C141" s="241"/>
      <c r="D141" s="241"/>
      <c r="E141" s="241"/>
      <c r="F141" s="241"/>
      <c r="G141" s="241"/>
      <c r="H141" s="241"/>
      <c r="I141" s="242"/>
    </row>
    <row r="142" spans="1:9" ht="21" customHeight="1" thickBot="1" x14ac:dyDescent="0.4">
      <c r="A142" s="129" t="str">
        <f>'FM-2'!$J$3</f>
        <v>ANNUAL EXAM 2024</v>
      </c>
      <c r="B142" s="67"/>
      <c r="C142" s="67"/>
      <c r="D142" s="67"/>
      <c r="E142" s="67"/>
      <c r="F142" s="67"/>
      <c r="G142" s="67"/>
      <c r="H142" s="67"/>
      <c r="I142" s="68"/>
    </row>
    <row r="143" spans="1:9" ht="21" customHeight="1" x14ac:dyDescent="0.35">
      <c r="A143" s="122"/>
      <c r="B143" s="123"/>
      <c r="C143" s="123"/>
      <c r="D143" s="123"/>
      <c r="E143" s="123"/>
      <c r="F143" s="123"/>
      <c r="G143" s="123"/>
      <c r="H143" s="123"/>
      <c r="I143" s="124"/>
    </row>
    <row r="144" spans="1:9" ht="21" customHeight="1" x14ac:dyDescent="0.3">
      <c r="A144" s="221" t="s">
        <v>0</v>
      </c>
      <c r="B144" s="222"/>
      <c r="C144" s="98" t="str">
        <f>'FM-2'!E7</f>
        <v>Ali5</v>
      </c>
      <c r="D144" s="98"/>
      <c r="E144" s="98"/>
      <c r="F144" s="222" t="s">
        <v>1</v>
      </c>
      <c r="G144" s="222"/>
      <c r="H144" s="223" t="str">
        <f>'FM-2'!F7</f>
        <v>Khan 5</v>
      </c>
      <c r="I144" s="224"/>
    </row>
    <row r="145" spans="1:9" ht="21" customHeight="1" x14ac:dyDescent="0.3">
      <c r="A145" s="221" t="s">
        <v>2</v>
      </c>
      <c r="B145" s="222"/>
      <c r="C145" s="92">
        <f>'FM-2'!C7</f>
        <v>1004</v>
      </c>
      <c r="D145" s="93" t="s">
        <v>3</v>
      </c>
      <c r="E145" s="92" t="str">
        <f>'FM-2'!$B$3</f>
        <v>7TH</v>
      </c>
      <c r="F145" s="222" t="s">
        <v>4</v>
      </c>
      <c r="G145" s="222"/>
      <c r="H145" s="225">
        <f>'FM-2'!D7</f>
        <v>5</v>
      </c>
      <c r="I145" s="226"/>
    </row>
    <row r="146" spans="1:9" ht="21" customHeight="1" thickBot="1" x14ac:dyDescent="0.35">
      <c r="A146" s="227" t="s">
        <v>206</v>
      </c>
      <c r="B146" s="228"/>
      <c r="C146" s="94">
        <f>COUNTIF('Marks Input'!$B$4:$B$63,"&gt;0")</f>
        <v>34</v>
      </c>
      <c r="D146" s="93"/>
      <c r="E146" s="95"/>
      <c r="F146" s="93"/>
      <c r="G146" s="93"/>
      <c r="H146" s="96"/>
      <c r="I146" s="97"/>
    </row>
    <row r="147" spans="1:9" ht="15.75" customHeight="1" thickBot="1" x14ac:dyDescent="0.35">
      <c r="A147" s="229" t="s">
        <v>5</v>
      </c>
      <c r="B147" s="231" t="s">
        <v>6</v>
      </c>
      <c r="C147" s="233" t="s">
        <v>7</v>
      </c>
      <c r="D147" s="235" t="s">
        <v>209</v>
      </c>
      <c r="E147" s="229" t="s">
        <v>8</v>
      </c>
      <c r="F147" s="237" t="s">
        <v>9</v>
      </c>
      <c r="G147" s="238"/>
      <c r="H147" s="238"/>
      <c r="I147" s="239"/>
    </row>
    <row r="148" spans="1:9" ht="30" customHeight="1" thickBot="1" x14ac:dyDescent="0.35">
      <c r="A148" s="230"/>
      <c r="B148" s="232"/>
      <c r="C148" s="234"/>
      <c r="D148" s="236"/>
      <c r="E148" s="230"/>
      <c r="F148" s="125" t="s">
        <v>10</v>
      </c>
      <c r="G148" s="126" t="s">
        <v>11</v>
      </c>
      <c r="H148" s="127" t="s">
        <v>12</v>
      </c>
      <c r="I148" s="128" t="s">
        <v>208</v>
      </c>
    </row>
    <row r="149" spans="1:9" ht="15" customHeight="1" thickBot="1" x14ac:dyDescent="0.35">
      <c r="A149" s="118" t="str">
        <f>'Marks Input'!$G$2</f>
        <v>Urdu</v>
      </c>
      <c r="B149" s="106">
        <f>'Marks Input'!$G$3</f>
        <v>100</v>
      </c>
      <c r="C149" s="99">
        <f>'FM-2'!K7</f>
        <v>63</v>
      </c>
      <c r="D149" s="107">
        <f>C149/B149</f>
        <v>0.63</v>
      </c>
      <c r="E149" s="79" t="str">
        <f>IF(D149&gt;0.899,"A+",IF(D149&gt;0.799,"A",IF(D149&gt;0.699,"B",IF(D149&gt;0.599,"C",IF(D149&gt;0.499,"D",IF(D149&gt;0.399,"E","F"))))))</f>
        <v>C</v>
      </c>
      <c r="F149" s="100">
        <f>MAX('Marks Input'!$G$4:$G$37)</f>
        <v>72</v>
      </c>
      <c r="G149" s="101">
        <f>MIN('Marks Input'!$G$4:$G$37)</f>
        <v>40</v>
      </c>
      <c r="H149" s="108">
        <f>'Marks Input'!$G$40</f>
        <v>62.59</v>
      </c>
      <c r="I149" s="76">
        <f>'FM-2'!V7</f>
        <v>22</v>
      </c>
    </row>
    <row r="150" spans="1:9" ht="15" customHeight="1" thickBot="1" x14ac:dyDescent="0.35">
      <c r="A150" s="119" t="str">
        <f>'Marks Input'!$H$2</f>
        <v>English</v>
      </c>
      <c r="B150" s="109">
        <f>'Marks Input'!$H$3</f>
        <v>100</v>
      </c>
      <c r="C150" s="102">
        <f>'FM-2'!L7</f>
        <v>53</v>
      </c>
      <c r="D150" s="110">
        <f>C150/B150</f>
        <v>0.53</v>
      </c>
      <c r="E150" s="79" t="str">
        <f t="shared" ref="E150:E158" si="11">IF(D150&gt;0.899,"A+",IF(D150&gt;0.799,"A",IF(D150&gt;0.699,"B",IF(D150&gt;0.599,"C",IF(D150&gt;0.499,"D",IF(D150&gt;0.399,"E","F"))))))</f>
        <v>D</v>
      </c>
      <c r="F150" s="103">
        <f>MAX('Marks Input'!$H$4:$H$37)</f>
        <v>74</v>
      </c>
      <c r="G150" s="104">
        <f>MIN('Marks Input'!$H$4:$H$37)</f>
        <v>30</v>
      </c>
      <c r="H150" s="111">
        <f>'Marks Input'!$H$40</f>
        <v>43.26</v>
      </c>
      <c r="I150" s="77">
        <f>'FM-2'!W7</f>
        <v>9</v>
      </c>
    </row>
    <row r="151" spans="1:9" ht="15" customHeight="1" thickBot="1" x14ac:dyDescent="0.35">
      <c r="A151" s="119" t="str">
        <f>'Marks Input'!$I$2</f>
        <v>Islamiyat</v>
      </c>
      <c r="B151" s="109">
        <f>'Marks Input'!$I$3</f>
        <v>100</v>
      </c>
      <c r="C151" s="102">
        <f>'FM-2'!M7</f>
        <v>55</v>
      </c>
      <c r="D151" s="110">
        <f t="shared" ref="D151:D156" si="12">C151/B151</f>
        <v>0.55000000000000004</v>
      </c>
      <c r="E151" s="79" t="str">
        <f t="shared" si="11"/>
        <v>D</v>
      </c>
      <c r="F151" s="103">
        <f>MAX('Marks Input'!$I$4:$I$37)</f>
        <v>88</v>
      </c>
      <c r="G151" s="104">
        <f>MIN('Marks Input'!$I$4:$I$37)</f>
        <v>34</v>
      </c>
      <c r="H151" s="111">
        <f>'Marks Input'!$I$40</f>
        <v>48.29</v>
      </c>
      <c r="I151" s="77">
        <f>'FM-2'!X7</f>
        <v>10</v>
      </c>
    </row>
    <row r="152" spans="1:9" ht="15" customHeight="1" thickBot="1" x14ac:dyDescent="0.35">
      <c r="A152" s="119" t="str">
        <f>'Marks Input'!$J$2</f>
        <v>Pak Studies</v>
      </c>
      <c r="B152" s="109">
        <f>'Marks Input'!$J$3</f>
        <v>100</v>
      </c>
      <c r="C152" s="102">
        <f>'FM-2'!N7</f>
        <v>54</v>
      </c>
      <c r="D152" s="110">
        <f t="shared" si="12"/>
        <v>0.54</v>
      </c>
      <c r="E152" s="79" t="str">
        <f t="shared" si="11"/>
        <v>D</v>
      </c>
      <c r="F152" s="103">
        <f>MAX('Marks Input'!$J$4:$J$37)</f>
        <v>96</v>
      </c>
      <c r="G152" s="104">
        <f>MIN('Marks Input'!$J$4:$J$37)</f>
        <v>34</v>
      </c>
      <c r="H152" s="111">
        <f>'Marks Input'!$J$40</f>
        <v>71.03</v>
      </c>
      <c r="I152" s="77">
        <f>'FM-2'!Y7</f>
        <v>19</v>
      </c>
    </row>
    <row r="153" spans="1:9" ht="15" customHeight="1" thickBot="1" x14ac:dyDescent="0.35">
      <c r="A153" s="119" t="str">
        <f>'Marks Input'!$K$2</f>
        <v>Maths</v>
      </c>
      <c r="B153" s="109">
        <f>'Marks Input'!$K$3</f>
        <v>100</v>
      </c>
      <c r="C153" s="102">
        <f>'FM-2'!O7</f>
        <v>88</v>
      </c>
      <c r="D153" s="110">
        <f t="shared" si="12"/>
        <v>0.88</v>
      </c>
      <c r="E153" s="79" t="str">
        <f t="shared" si="11"/>
        <v>A</v>
      </c>
      <c r="F153" s="103">
        <f>MAX('Marks Input'!$K$4:$K$37)</f>
        <v>94</v>
      </c>
      <c r="G153" s="104">
        <f>MIN('Marks Input'!$K$4:$K$37)</f>
        <v>57</v>
      </c>
      <c r="H153" s="111">
        <f>'Marks Input'!$K$40</f>
        <v>75.819999999999993</v>
      </c>
      <c r="I153" s="77">
        <f>'FM-2'!Z7</f>
        <v>1</v>
      </c>
    </row>
    <row r="154" spans="1:9" ht="15" customHeight="1" thickBot="1" x14ac:dyDescent="0.35">
      <c r="A154" s="119" t="str">
        <f>'Marks Input'!$L$2</f>
        <v>Sci./ Che.</v>
      </c>
      <c r="B154" s="109">
        <f>'Marks Input'!$L$3</f>
        <v>100</v>
      </c>
      <c r="C154" s="102">
        <f>'FM-2'!P7</f>
        <v>96</v>
      </c>
      <c r="D154" s="110">
        <f t="shared" si="12"/>
        <v>0.96</v>
      </c>
      <c r="E154" s="79" t="str">
        <f t="shared" si="11"/>
        <v>A+</v>
      </c>
      <c r="F154" s="103">
        <f>MAX('Marks Input'!$L$4:$L$37)</f>
        <v>98</v>
      </c>
      <c r="G154" s="104">
        <f>MIN('Marks Input'!$L$4:$L$37)</f>
        <v>40</v>
      </c>
      <c r="H154" s="111">
        <f>'Marks Input'!$L$40</f>
        <v>61.09</v>
      </c>
      <c r="I154" s="77">
        <f>'FM-2'!AA7</f>
        <v>1</v>
      </c>
    </row>
    <row r="155" spans="1:9" ht="15" customHeight="1" thickBot="1" x14ac:dyDescent="0.35">
      <c r="A155" s="119" t="str">
        <f>'Marks Input'!$M$2</f>
        <v>Nazra</v>
      </c>
      <c r="B155" s="109">
        <f>'Marks Input'!$M$3</f>
        <v>100</v>
      </c>
      <c r="C155" s="102">
        <f>'FM-2'!Q7</f>
        <v>58</v>
      </c>
      <c r="D155" s="110">
        <f t="shared" si="12"/>
        <v>0.57999999999999996</v>
      </c>
      <c r="E155" s="79" t="str">
        <f t="shared" si="11"/>
        <v>D</v>
      </c>
      <c r="F155" s="103">
        <f>MAX('Marks Input'!$M$4:$M$37)</f>
        <v>94</v>
      </c>
      <c r="G155" s="104">
        <f>MIN('Marks Input'!$M$4:$M$37)</f>
        <v>32</v>
      </c>
      <c r="H155" s="111">
        <f>'Marks Input'!$M$40</f>
        <v>57.79</v>
      </c>
      <c r="I155" s="77">
        <f>'FM-2'!AB7</f>
        <v>15</v>
      </c>
    </row>
    <row r="156" spans="1:9" ht="15" customHeight="1" thickBot="1" x14ac:dyDescent="0.35">
      <c r="A156" s="119" t="str">
        <f>'Marks Input'!$N$2</f>
        <v>Physics</v>
      </c>
      <c r="B156" s="109">
        <f>'Marks Input'!$N$3</f>
        <v>100</v>
      </c>
      <c r="C156" s="102">
        <f>'FM-2'!R7</f>
        <v>75</v>
      </c>
      <c r="D156" s="110">
        <f t="shared" si="12"/>
        <v>0.75</v>
      </c>
      <c r="E156" s="79" t="str">
        <f t="shared" si="11"/>
        <v>B</v>
      </c>
      <c r="F156" s="103">
        <f>MAX('Marks Input'!$N$4:$N$37)</f>
        <v>60</v>
      </c>
      <c r="G156" s="104">
        <f>MIN('Marks Input'!$N$4:$N$37)</f>
        <v>18</v>
      </c>
      <c r="H156" s="111">
        <f>'Marks Input'!$N$40</f>
        <v>42.94</v>
      </c>
      <c r="I156" s="77">
        <f>'FM-2'!AC7</f>
        <v>16</v>
      </c>
    </row>
    <row r="157" spans="1:9" ht="15" customHeight="1" thickBot="1" x14ac:dyDescent="0.35">
      <c r="A157" s="120" t="str">
        <f>'Marks Input'!$O$2</f>
        <v>Bio./Comp.</v>
      </c>
      <c r="B157" s="112">
        <f>'Marks Input'!$O$3</f>
        <v>100</v>
      </c>
      <c r="C157" s="113">
        <f>'FM-2'!S7</f>
        <v>58</v>
      </c>
      <c r="D157" s="114">
        <f>C157/B157</f>
        <v>0.57999999999999996</v>
      </c>
      <c r="E157" s="80" t="str">
        <f t="shared" si="11"/>
        <v>D</v>
      </c>
      <c r="F157" s="115">
        <f>MAX('Marks Input'!$O$4:$O$37)</f>
        <v>40</v>
      </c>
      <c r="G157" s="116">
        <f>MIN('Marks Input'!$O$4:$O$37)</f>
        <v>14</v>
      </c>
      <c r="H157" s="117">
        <f>'Marks Input'!$O$40</f>
        <v>30.44</v>
      </c>
      <c r="I157" s="78">
        <f>'FM-2'!AD7</f>
        <v>15</v>
      </c>
    </row>
    <row r="158" spans="1:9" ht="21" customHeight="1" thickBot="1" x14ac:dyDescent="0.45">
      <c r="A158" s="69" t="s">
        <v>14</v>
      </c>
      <c r="B158" s="70">
        <f>'Marks Input'!$P$3</f>
        <v>900</v>
      </c>
      <c r="C158" s="71">
        <f>'FM-2'!U7</f>
        <v>582</v>
      </c>
      <c r="D158" s="72">
        <f t="shared" ref="D158" si="13">C158/B158</f>
        <v>0.64666666666666661</v>
      </c>
      <c r="E158" s="73" t="str">
        <f t="shared" si="11"/>
        <v>C</v>
      </c>
      <c r="F158" s="70">
        <f>MAX('Marks Input'!$P$4:$P$37)</f>
        <v>673</v>
      </c>
      <c r="G158" s="71">
        <f>MIN('Marks Input'!$P$4:$P$37)</f>
        <v>322</v>
      </c>
      <c r="H158" s="74">
        <f>'Marks Input'!$P$40</f>
        <v>493.26</v>
      </c>
      <c r="I158" s="75">
        <f>'FM-2'!AF7</f>
        <v>6</v>
      </c>
    </row>
    <row r="159" spans="1:9" ht="21" customHeight="1" thickBot="1" x14ac:dyDescent="0.35">
      <c r="A159" s="196" t="s">
        <v>15</v>
      </c>
      <c r="B159" s="197"/>
      <c r="C159" s="197"/>
      <c r="H159" s="82"/>
      <c r="I159" s="83"/>
    </row>
    <row r="160" spans="1:9" ht="35.1" customHeight="1" x14ac:dyDescent="0.3">
      <c r="A160" s="198" t="str">
        <f>IF(D158&gt;0.399,"Promoted Successfully","Not Promoted")</f>
        <v>Promoted Successfully</v>
      </c>
      <c r="B160" s="199"/>
      <c r="C160" s="199"/>
      <c r="D160" s="199"/>
      <c r="E160" s="199"/>
      <c r="F160" s="199"/>
      <c r="G160" s="199"/>
      <c r="H160" s="199"/>
      <c r="I160" s="200"/>
    </row>
    <row r="161" spans="1:9" ht="35.1" customHeight="1" thickBot="1" x14ac:dyDescent="0.35">
      <c r="A161" s="201"/>
      <c r="B161" s="202"/>
      <c r="C161" s="202"/>
      <c r="D161" s="202"/>
      <c r="E161" s="202"/>
      <c r="F161" s="202"/>
      <c r="G161" s="202"/>
      <c r="H161" s="202"/>
      <c r="I161" s="203"/>
    </row>
    <row r="162" spans="1:9" ht="30" customHeight="1" x14ac:dyDescent="0.3">
      <c r="A162" s="84"/>
      <c r="B162" s="85"/>
      <c r="C162" s="85"/>
      <c r="D162" s="121" t="s">
        <v>140</v>
      </c>
      <c r="E162" s="86"/>
      <c r="F162" s="86"/>
      <c r="G162" s="204"/>
      <c r="H162" s="204"/>
      <c r="I162" s="205"/>
    </row>
    <row r="163" spans="1:9" ht="30" customHeight="1" x14ac:dyDescent="0.3">
      <c r="A163" s="84"/>
      <c r="D163" s="121" t="s">
        <v>16</v>
      </c>
      <c r="E163" s="86"/>
      <c r="F163" s="86"/>
      <c r="G163" s="206"/>
      <c r="H163" s="206"/>
      <c r="I163" s="207"/>
    </row>
    <row r="164" spans="1:9" ht="15" customHeight="1" x14ac:dyDescent="0.3">
      <c r="A164" s="84"/>
      <c r="F164" s="208" t="str">
        <f>A141</f>
        <v>APS Hazro</v>
      </c>
      <c r="G164" s="208"/>
      <c r="H164" s="208"/>
      <c r="I164" s="209"/>
    </row>
    <row r="165" spans="1:9" ht="15" customHeight="1" thickBot="1" x14ac:dyDescent="0.35">
      <c r="A165" s="210"/>
      <c r="B165" s="211"/>
      <c r="C165" s="211"/>
      <c r="D165" s="211"/>
      <c r="E165" s="211"/>
      <c r="F165" s="211"/>
      <c r="G165" s="211"/>
      <c r="H165" s="211"/>
      <c r="I165" s="212"/>
    </row>
    <row r="166" spans="1:9" ht="15" customHeight="1" x14ac:dyDescent="0.3">
      <c r="A166" s="213"/>
      <c r="B166" s="214"/>
      <c r="C166" s="214"/>
      <c r="D166" s="214"/>
      <c r="E166" s="214"/>
      <c r="F166" s="214"/>
      <c r="G166" s="214"/>
      <c r="H166" s="214"/>
      <c r="I166" s="215"/>
    </row>
    <row r="167" spans="1:9" ht="21" customHeight="1" x14ac:dyDescent="0.35">
      <c r="A167" s="87" t="s">
        <v>17</v>
      </c>
      <c r="B167" s="105">
        <f>H145</f>
        <v>5</v>
      </c>
      <c r="C167" s="88"/>
      <c r="D167" s="89" t="s">
        <v>3</v>
      </c>
      <c r="E167" s="89" t="str">
        <f>E145</f>
        <v>7TH</v>
      </c>
      <c r="F167" s="90" t="s">
        <v>18</v>
      </c>
      <c r="G167" s="216" t="str">
        <f>E158</f>
        <v>C</v>
      </c>
      <c r="H167" s="216"/>
      <c r="I167" s="217"/>
    </row>
    <row r="168" spans="1:9" ht="30" customHeight="1" x14ac:dyDescent="0.3">
      <c r="A168" s="176" t="s">
        <v>210</v>
      </c>
      <c r="B168" s="177"/>
      <c r="C168" s="218"/>
      <c r="D168" s="218"/>
      <c r="E168" s="187" t="s">
        <v>19</v>
      </c>
      <c r="F168" s="187"/>
      <c r="G168" s="219"/>
      <c r="H168" s="219"/>
      <c r="I168" s="220"/>
    </row>
    <row r="169" spans="1:9" ht="30" customHeight="1" x14ac:dyDescent="0.3">
      <c r="A169" s="176" t="s">
        <v>20</v>
      </c>
      <c r="B169" s="177"/>
      <c r="C169" s="178"/>
      <c r="D169" s="178"/>
      <c r="E169" s="178"/>
      <c r="F169" s="178"/>
      <c r="G169" s="178"/>
      <c r="H169" s="178"/>
      <c r="I169" s="179"/>
    </row>
    <row r="170" spans="1:9" ht="30" customHeight="1" x14ac:dyDescent="0.3">
      <c r="A170" s="180"/>
      <c r="B170" s="181"/>
      <c r="C170" s="181"/>
      <c r="D170" s="181"/>
      <c r="E170" s="181"/>
      <c r="F170" s="181"/>
      <c r="G170" s="181"/>
      <c r="H170" s="181"/>
      <c r="I170" s="182"/>
    </row>
    <row r="171" spans="1:9" ht="21" customHeight="1" x14ac:dyDescent="0.3">
      <c r="A171" s="183"/>
      <c r="B171" s="184"/>
      <c r="C171" s="184"/>
      <c r="D171" s="184"/>
      <c r="E171" s="184"/>
      <c r="F171" s="184"/>
      <c r="G171" s="184"/>
      <c r="H171" s="184"/>
      <c r="I171" s="185"/>
    </row>
    <row r="172" spans="1:9" ht="21" customHeight="1" x14ac:dyDescent="0.3">
      <c r="A172" s="91" t="s">
        <v>207</v>
      </c>
      <c r="B172" s="186">
        <f ca="1">TODAY()</f>
        <v>46315</v>
      </c>
      <c r="C172" s="186"/>
      <c r="D172" s="187" t="s">
        <v>141</v>
      </c>
      <c r="E172" s="187"/>
      <c r="F172" s="187"/>
      <c r="G172" s="188"/>
      <c r="H172" s="188"/>
      <c r="I172" s="189"/>
    </row>
    <row r="173" spans="1:9" ht="21" customHeight="1" x14ac:dyDescent="0.3">
      <c r="A173" s="190" t="s">
        <v>211</v>
      </c>
      <c r="B173" s="191"/>
      <c r="C173" s="191"/>
      <c r="D173" s="191"/>
      <c r="E173" s="191"/>
      <c r="F173" s="191"/>
      <c r="G173" s="191"/>
      <c r="H173" s="191"/>
      <c r="I173" s="192"/>
    </row>
    <row r="174" spans="1:9" ht="15" customHeight="1" x14ac:dyDescent="0.3">
      <c r="A174" s="190"/>
      <c r="B174" s="191"/>
      <c r="C174" s="191"/>
      <c r="D174" s="191"/>
      <c r="E174" s="191"/>
      <c r="F174" s="191"/>
      <c r="G174" s="191"/>
      <c r="H174" s="191"/>
      <c r="I174" s="192"/>
    </row>
    <row r="175" spans="1:9" ht="15" thickBot="1" x14ac:dyDescent="0.35">
      <c r="A175" s="193"/>
      <c r="B175" s="194"/>
      <c r="C175" s="194"/>
      <c r="D175" s="194"/>
      <c r="E175" s="194"/>
      <c r="F175" s="194"/>
      <c r="G175" s="194"/>
      <c r="H175" s="194"/>
      <c r="I175" s="195"/>
    </row>
    <row r="176" spans="1:9" ht="41.1" customHeight="1" thickBot="1" x14ac:dyDescent="0.35">
      <c r="A176" s="240" t="str">
        <f>'FM-2'!$I$3</f>
        <v>APS Hazro</v>
      </c>
      <c r="B176" s="241"/>
      <c r="C176" s="241"/>
      <c r="D176" s="241"/>
      <c r="E176" s="241"/>
      <c r="F176" s="241"/>
      <c r="G176" s="241"/>
      <c r="H176" s="241"/>
      <c r="I176" s="242"/>
    </row>
    <row r="177" spans="1:9" ht="21" customHeight="1" thickBot="1" x14ac:dyDescent="0.4">
      <c r="A177" s="129" t="str">
        <f>'FM-2'!$J$3</f>
        <v>ANNUAL EXAM 2024</v>
      </c>
      <c r="B177" s="67"/>
      <c r="C177" s="67"/>
      <c r="D177" s="67"/>
      <c r="E177" s="67"/>
      <c r="F177" s="67"/>
      <c r="G177" s="67"/>
      <c r="H177" s="67"/>
      <c r="I177" s="68"/>
    </row>
    <row r="178" spans="1:9" ht="21" customHeight="1" x14ac:dyDescent="0.35">
      <c r="A178" s="122"/>
      <c r="B178" s="123"/>
      <c r="C178" s="123"/>
      <c r="D178" s="123"/>
      <c r="E178" s="123"/>
      <c r="F178" s="123"/>
      <c r="G178" s="123"/>
      <c r="H178" s="123"/>
      <c r="I178" s="124"/>
    </row>
    <row r="179" spans="1:9" ht="21" customHeight="1" x14ac:dyDescent="0.3">
      <c r="A179" s="221" t="s">
        <v>0</v>
      </c>
      <c r="B179" s="222"/>
      <c r="C179" s="98" t="str">
        <f>'FM-2'!E8</f>
        <v>Ali6</v>
      </c>
      <c r="D179" s="98"/>
      <c r="E179" s="98"/>
      <c r="F179" s="222" t="s">
        <v>1</v>
      </c>
      <c r="G179" s="222"/>
      <c r="H179" s="223" t="str">
        <f>'FM-2'!F8</f>
        <v>Khan 6</v>
      </c>
      <c r="I179" s="224"/>
    </row>
    <row r="180" spans="1:9" ht="21" customHeight="1" x14ac:dyDescent="0.3">
      <c r="A180" s="221" t="s">
        <v>2</v>
      </c>
      <c r="B180" s="222"/>
      <c r="C180" s="92">
        <f>'FM-2'!C8</f>
        <v>1005</v>
      </c>
      <c r="D180" s="93" t="s">
        <v>3</v>
      </c>
      <c r="E180" s="92" t="str">
        <f>'FM-2'!$B$3</f>
        <v>7TH</v>
      </c>
      <c r="F180" s="222" t="s">
        <v>4</v>
      </c>
      <c r="G180" s="222"/>
      <c r="H180" s="225">
        <f>'FM-2'!D8</f>
        <v>6</v>
      </c>
      <c r="I180" s="226"/>
    </row>
    <row r="181" spans="1:9" ht="21" customHeight="1" thickBot="1" x14ac:dyDescent="0.35">
      <c r="A181" s="227" t="s">
        <v>206</v>
      </c>
      <c r="B181" s="228"/>
      <c r="C181" s="94">
        <f>COUNTIF('Marks Input'!$B$4:$B$63,"&gt;0")</f>
        <v>34</v>
      </c>
      <c r="D181" s="93"/>
      <c r="E181" s="95"/>
      <c r="F181" s="93"/>
      <c r="G181" s="93"/>
      <c r="H181" s="96"/>
      <c r="I181" s="97"/>
    </row>
    <row r="182" spans="1:9" ht="15.75" customHeight="1" thickBot="1" x14ac:dyDescent="0.35">
      <c r="A182" s="229" t="s">
        <v>5</v>
      </c>
      <c r="B182" s="231" t="s">
        <v>6</v>
      </c>
      <c r="C182" s="233" t="s">
        <v>7</v>
      </c>
      <c r="D182" s="235" t="s">
        <v>209</v>
      </c>
      <c r="E182" s="229" t="s">
        <v>8</v>
      </c>
      <c r="F182" s="237" t="s">
        <v>9</v>
      </c>
      <c r="G182" s="238"/>
      <c r="H182" s="238"/>
      <c r="I182" s="239"/>
    </row>
    <row r="183" spans="1:9" ht="30" customHeight="1" thickBot="1" x14ac:dyDescent="0.35">
      <c r="A183" s="230"/>
      <c r="B183" s="232"/>
      <c r="C183" s="234"/>
      <c r="D183" s="236"/>
      <c r="E183" s="230"/>
      <c r="F183" s="125" t="s">
        <v>10</v>
      </c>
      <c r="G183" s="126" t="s">
        <v>11</v>
      </c>
      <c r="H183" s="127" t="s">
        <v>12</v>
      </c>
      <c r="I183" s="128" t="s">
        <v>208</v>
      </c>
    </row>
    <row r="184" spans="1:9" ht="15" customHeight="1" thickBot="1" x14ac:dyDescent="0.35">
      <c r="A184" s="118" t="str">
        <f>'Marks Input'!$G$2</f>
        <v>Urdu</v>
      </c>
      <c r="B184" s="106">
        <f>'Marks Input'!$G$3</f>
        <v>100</v>
      </c>
      <c r="C184" s="99">
        <f>'FM-2'!K8</f>
        <v>63</v>
      </c>
      <c r="D184" s="107">
        <f>C184/B184</f>
        <v>0.63</v>
      </c>
      <c r="E184" s="79" t="str">
        <f>IF(D184&gt;0.899,"A+",IF(D184&gt;0.799,"A",IF(D184&gt;0.699,"B",IF(D184&gt;0.599,"C",IF(D184&gt;0.499,"D",IF(D184&gt;0.399,"E","F"))))))</f>
        <v>C</v>
      </c>
      <c r="F184" s="100">
        <f>MAX('Marks Input'!$G$4:$G$37)</f>
        <v>72</v>
      </c>
      <c r="G184" s="101">
        <f>MIN('Marks Input'!$G$4:$G$37)</f>
        <v>40</v>
      </c>
      <c r="H184" s="108">
        <f>'Marks Input'!$G$40</f>
        <v>62.59</v>
      </c>
      <c r="I184" s="76">
        <f>'FM-2'!V8</f>
        <v>22</v>
      </c>
    </row>
    <row r="185" spans="1:9" ht="15" customHeight="1" thickBot="1" x14ac:dyDescent="0.35">
      <c r="A185" s="119" t="str">
        <f>'Marks Input'!$H$2</f>
        <v>English</v>
      </c>
      <c r="B185" s="109">
        <f>'Marks Input'!$H$3</f>
        <v>100</v>
      </c>
      <c r="C185" s="102">
        <f>'FM-2'!L8</f>
        <v>62</v>
      </c>
      <c r="D185" s="110">
        <f>C185/B185</f>
        <v>0.62</v>
      </c>
      <c r="E185" s="79" t="str">
        <f t="shared" ref="E185:E193" si="14">IF(D185&gt;0.899,"A+",IF(D185&gt;0.799,"A",IF(D185&gt;0.699,"B",IF(D185&gt;0.599,"C",IF(D185&gt;0.499,"D",IF(D185&gt;0.399,"E","F"))))))</f>
        <v>C</v>
      </c>
      <c r="F185" s="103">
        <f>MAX('Marks Input'!$H$4:$H$37)</f>
        <v>74</v>
      </c>
      <c r="G185" s="104">
        <f>MIN('Marks Input'!$H$4:$H$37)</f>
        <v>30</v>
      </c>
      <c r="H185" s="111">
        <f>'Marks Input'!$H$40</f>
        <v>43.26</v>
      </c>
      <c r="I185" s="77">
        <f>'FM-2'!W8</f>
        <v>4</v>
      </c>
    </row>
    <row r="186" spans="1:9" ht="15" customHeight="1" thickBot="1" x14ac:dyDescent="0.35">
      <c r="A186" s="119" t="str">
        <f>'Marks Input'!$I$2</f>
        <v>Islamiyat</v>
      </c>
      <c r="B186" s="109">
        <f>'Marks Input'!$I$3</f>
        <v>100</v>
      </c>
      <c r="C186" s="102">
        <f>'FM-2'!M8</f>
        <v>52</v>
      </c>
      <c r="D186" s="110">
        <f t="shared" ref="D186:D191" si="15">C186/B186</f>
        <v>0.52</v>
      </c>
      <c r="E186" s="79" t="str">
        <f t="shared" si="14"/>
        <v>D</v>
      </c>
      <c r="F186" s="103">
        <f>MAX('Marks Input'!$I$4:$I$37)</f>
        <v>88</v>
      </c>
      <c r="G186" s="104">
        <f>MIN('Marks Input'!$I$4:$I$37)</f>
        <v>34</v>
      </c>
      <c r="H186" s="111">
        <f>'Marks Input'!$I$40</f>
        <v>48.29</v>
      </c>
      <c r="I186" s="77">
        <f>'FM-2'!X8</f>
        <v>12</v>
      </c>
    </row>
    <row r="187" spans="1:9" ht="15" customHeight="1" thickBot="1" x14ac:dyDescent="0.35">
      <c r="A187" s="119" t="str">
        <f>'Marks Input'!$J$2</f>
        <v>Pak Studies</v>
      </c>
      <c r="B187" s="109">
        <f>'Marks Input'!$J$3</f>
        <v>100</v>
      </c>
      <c r="C187" s="102">
        <f>'FM-2'!N8</f>
        <v>54</v>
      </c>
      <c r="D187" s="110">
        <f t="shared" si="15"/>
        <v>0.54</v>
      </c>
      <c r="E187" s="79" t="str">
        <f t="shared" si="14"/>
        <v>D</v>
      </c>
      <c r="F187" s="103">
        <f>MAX('Marks Input'!$J$4:$J$37)</f>
        <v>96</v>
      </c>
      <c r="G187" s="104">
        <f>MIN('Marks Input'!$J$4:$J$37)</f>
        <v>34</v>
      </c>
      <c r="H187" s="111">
        <f>'Marks Input'!$J$40</f>
        <v>71.03</v>
      </c>
      <c r="I187" s="77">
        <f>'FM-2'!Y8</f>
        <v>19</v>
      </c>
    </row>
    <row r="188" spans="1:9" ht="15" customHeight="1" thickBot="1" x14ac:dyDescent="0.35">
      <c r="A188" s="119" t="str">
        <f>'Marks Input'!$K$2</f>
        <v>Maths</v>
      </c>
      <c r="B188" s="109">
        <f>'Marks Input'!$K$3</f>
        <v>100</v>
      </c>
      <c r="C188" s="102">
        <f>'FM-2'!O8</f>
        <v>60</v>
      </c>
      <c r="D188" s="110">
        <f t="shared" si="15"/>
        <v>0.6</v>
      </c>
      <c r="E188" s="79" t="str">
        <f t="shared" si="14"/>
        <v>C</v>
      </c>
      <c r="F188" s="103">
        <f>MAX('Marks Input'!$K$4:$K$37)</f>
        <v>94</v>
      </c>
      <c r="G188" s="104">
        <f>MIN('Marks Input'!$K$4:$K$37)</f>
        <v>57</v>
      </c>
      <c r="H188" s="111">
        <f>'Marks Input'!$K$40</f>
        <v>75.819999999999993</v>
      </c>
      <c r="I188" s="77">
        <f>'FM-2'!Z8</f>
        <v>4</v>
      </c>
    </row>
    <row r="189" spans="1:9" ht="15" customHeight="1" thickBot="1" x14ac:dyDescent="0.35">
      <c r="A189" s="119" t="str">
        <f>'Marks Input'!$L$2</f>
        <v>Sci./ Che.</v>
      </c>
      <c r="B189" s="109">
        <f>'Marks Input'!$L$3</f>
        <v>100</v>
      </c>
      <c r="C189" s="102">
        <f>'FM-2'!P8</f>
        <v>82</v>
      </c>
      <c r="D189" s="110">
        <f t="shared" si="15"/>
        <v>0.82</v>
      </c>
      <c r="E189" s="79" t="str">
        <f t="shared" si="14"/>
        <v>A</v>
      </c>
      <c r="F189" s="103">
        <f>MAX('Marks Input'!$L$4:$L$37)</f>
        <v>98</v>
      </c>
      <c r="G189" s="104">
        <f>MIN('Marks Input'!$L$4:$L$37)</f>
        <v>40</v>
      </c>
      <c r="H189" s="111">
        <f>'Marks Input'!$L$40</f>
        <v>61.09</v>
      </c>
      <c r="I189" s="77">
        <f>'FM-2'!AA8</f>
        <v>14</v>
      </c>
    </row>
    <row r="190" spans="1:9" ht="15" customHeight="1" thickBot="1" x14ac:dyDescent="0.35">
      <c r="A190" s="119" t="str">
        <f>'Marks Input'!$M$2</f>
        <v>Nazra</v>
      </c>
      <c r="B190" s="109">
        <f>'Marks Input'!$M$3</f>
        <v>100</v>
      </c>
      <c r="C190" s="102">
        <f>'FM-2'!Q8</f>
        <v>53</v>
      </c>
      <c r="D190" s="110">
        <f t="shared" si="15"/>
        <v>0.53</v>
      </c>
      <c r="E190" s="79" t="str">
        <f t="shared" si="14"/>
        <v>D</v>
      </c>
      <c r="F190" s="103">
        <f>MAX('Marks Input'!$M$4:$M$37)</f>
        <v>94</v>
      </c>
      <c r="G190" s="104">
        <f>MIN('Marks Input'!$M$4:$M$37)</f>
        <v>32</v>
      </c>
      <c r="H190" s="111">
        <f>'Marks Input'!$M$40</f>
        <v>57.79</v>
      </c>
      <c r="I190" s="77">
        <f>'FM-2'!AB8</f>
        <v>20</v>
      </c>
    </row>
    <row r="191" spans="1:9" ht="15" customHeight="1" thickBot="1" x14ac:dyDescent="0.35">
      <c r="A191" s="119" t="str">
        <f>'Marks Input'!$N$2</f>
        <v>Physics</v>
      </c>
      <c r="B191" s="109">
        <f>'Marks Input'!$N$3</f>
        <v>100</v>
      </c>
      <c r="C191" s="102">
        <f>'FM-2'!R8</f>
        <v>78</v>
      </c>
      <c r="D191" s="110">
        <f t="shared" si="15"/>
        <v>0.78</v>
      </c>
      <c r="E191" s="79" t="str">
        <f t="shared" si="14"/>
        <v>B</v>
      </c>
      <c r="F191" s="103">
        <f>MAX('Marks Input'!$N$4:$N$37)</f>
        <v>60</v>
      </c>
      <c r="G191" s="104">
        <f>MIN('Marks Input'!$N$4:$N$37)</f>
        <v>18</v>
      </c>
      <c r="H191" s="111">
        <f>'Marks Input'!$N$40</f>
        <v>42.94</v>
      </c>
      <c r="I191" s="77">
        <f>'FM-2'!AC8</f>
        <v>9</v>
      </c>
    </row>
    <row r="192" spans="1:9" ht="15" customHeight="1" thickBot="1" x14ac:dyDescent="0.35">
      <c r="A192" s="120" t="str">
        <f>'Marks Input'!$O$2</f>
        <v>Bio./Comp.</v>
      </c>
      <c r="B192" s="112">
        <f>'Marks Input'!$O$3</f>
        <v>100</v>
      </c>
      <c r="C192" s="113">
        <f>'FM-2'!S8</f>
        <v>53</v>
      </c>
      <c r="D192" s="114">
        <f>C192/B192</f>
        <v>0.53</v>
      </c>
      <c r="E192" s="80" t="str">
        <f t="shared" si="14"/>
        <v>D</v>
      </c>
      <c r="F192" s="115">
        <f>MAX('Marks Input'!$O$4:$O$37)</f>
        <v>40</v>
      </c>
      <c r="G192" s="116">
        <f>MIN('Marks Input'!$O$4:$O$37)</f>
        <v>14</v>
      </c>
      <c r="H192" s="117">
        <f>'Marks Input'!$O$40</f>
        <v>30.44</v>
      </c>
      <c r="I192" s="78">
        <f>'FM-2'!AD8</f>
        <v>20</v>
      </c>
    </row>
    <row r="193" spans="1:9" ht="21" customHeight="1" thickBot="1" x14ac:dyDescent="0.45">
      <c r="A193" s="69" t="s">
        <v>14</v>
      </c>
      <c r="B193" s="70">
        <f>'Marks Input'!$P$3</f>
        <v>900</v>
      </c>
      <c r="C193" s="71">
        <f>'FM-2'!U8</f>
        <v>536</v>
      </c>
      <c r="D193" s="72">
        <f t="shared" ref="D193" si="16">C193/B193</f>
        <v>0.5955555555555555</v>
      </c>
      <c r="E193" s="73" t="str">
        <f t="shared" si="14"/>
        <v>D</v>
      </c>
      <c r="F193" s="70">
        <f>MAX('Marks Input'!$P$4:$P$37)</f>
        <v>673</v>
      </c>
      <c r="G193" s="71">
        <f>MIN('Marks Input'!$P$4:$P$37)</f>
        <v>322</v>
      </c>
      <c r="H193" s="74">
        <f>'Marks Input'!$P$40</f>
        <v>493.26</v>
      </c>
      <c r="I193" s="75">
        <f>'FM-2'!AF8</f>
        <v>12</v>
      </c>
    </row>
    <row r="194" spans="1:9" ht="21" customHeight="1" thickBot="1" x14ac:dyDescent="0.35">
      <c r="A194" s="196" t="s">
        <v>15</v>
      </c>
      <c r="B194" s="197"/>
      <c r="C194" s="197"/>
      <c r="H194" s="82"/>
      <c r="I194" s="83"/>
    </row>
    <row r="195" spans="1:9" ht="35.1" customHeight="1" x14ac:dyDescent="0.3">
      <c r="A195" s="198" t="str">
        <f>IF(D193&gt;0.399,"Promoted Successfully","Not Promoted")</f>
        <v>Promoted Successfully</v>
      </c>
      <c r="B195" s="199"/>
      <c r="C195" s="199"/>
      <c r="D195" s="199"/>
      <c r="E195" s="199"/>
      <c r="F195" s="199"/>
      <c r="G195" s="199"/>
      <c r="H195" s="199"/>
      <c r="I195" s="200"/>
    </row>
    <row r="196" spans="1:9" ht="35.1" customHeight="1" thickBot="1" x14ac:dyDescent="0.35">
      <c r="A196" s="201"/>
      <c r="B196" s="202"/>
      <c r="C196" s="202"/>
      <c r="D196" s="202"/>
      <c r="E196" s="202"/>
      <c r="F196" s="202"/>
      <c r="G196" s="202"/>
      <c r="H196" s="202"/>
      <c r="I196" s="203"/>
    </row>
    <row r="197" spans="1:9" ht="30" customHeight="1" x14ac:dyDescent="0.3">
      <c r="A197" s="84"/>
      <c r="B197" s="85"/>
      <c r="C197" s="85"/>
      <c r="D197" s="121" t="s">
        <v>140</v>
      </c>
      <c r="E197" s="86"/>
      <c r="F197" s="86"/>
      <c r="G197" s="204"/>
      <c r="H197" s="204"/>
      <c r="I197" s="205"/>
    </row>
    <row r="198" spans="1:9" ht="30" customHeight="1" x14ac:dyDescent="0.3">
      <c r="A198" s="84"/>
      <c r="D198" s="121" t="s">
        <v>16</v>
      </c>
      <c r="E198" s="86"/>
      <c r="F198" s="86"/>
      <c r="G198" s="206"/>
      <c r="H198" s="206"/>
      <c r="I198" s="207"/>
    </row>
    <row r="199" spans="1:9" ht="15" customHeight="1" x14ac:dyDescent="0.3">
      <c r="A199" s="84"/>
      <c r="F199" s="208" t="str">
        <f>A176</f>
        <v>APS Hazro</v>
      </c>
      <c r="G199" s="208"/>
      <c r="H199" s="208"/>
      <c r="I199" s="209"/>
    </row>
    <row r="200" spans="1:9" ht="15" customHeight="1" thickBot="1" x14ac:dyDescent="0.35">
      <c r="A200" s="210"/>
      <c r="B200" s="211"/>
      <c r="C200" s="211"/>
      <c r="D200" s="211"/>
      <c r="E200" s="211"/>
      <c r="F200" s="211"/>
      <c r="G200" s="211"/>
      <c r="H200" s="211"/>
      <c r="I200" s="212"/>
    </row>
    <row r="201" spans="1:9" ht="15" customHeight="1" x14ac:dyDescent="0.3">
      <c r="A201" s="213"/>
      <c r="B201" s="214"/>
      <c r="C201" s="214"/>
      <c r="D201" s="214"/>
      <c r="E201" s="214"/>
      <c r="F201" s="214"/>
      <c r="G201" s="214"/>
      <c r="H201" s="214"/>
      <c r="I201" s="215"/>
    </row>
    <row r="202" spans="1:9" ht="21" customHeight="1" x14ac:dyDescent="0.35">
      <c r="A202" s="87" t="s">
        <v>17</v>
      </c>
      <c r="B202" s="105">
        <f>H180</f>
        <v>6</v>
      </c>
      <c r="C202" s="88"/>
      <c r="D202" s="89" t="s">
        <v>3</v>
      </c>
      <c r="E202" s="89" t="str">
        <f>E180</f>
        <v>7TH</v>
      </c>
      <c r="F202" s="90" t="s">
        <v>18</v>
      </c>
      <c r="G202" s="216" t="str">
        <f>E193</f>
        <v>D</v>
      </c>
      <c r="H202" s="216"/>
      <c r="I202" s="217"/>
    </row>
    <row r="203" spans="1:9" ht="30" customHeight="1" x14ac:dyDescent="0.3">
      <c r="A203" s="176" t="s">
        <v>210</v>
      </c>
      <c r="B203" s="177"/>
      <c r="C203" s="218"/>
      <c r="D203" s="218"/>
      <c r="E203" s="187" t="s">
        <v>19</v>
      </c>
      <c r="F203" s="187"/>
      <c r="G203" s="219"/>
      <c r="H203" s="219"/>
      <c r="I203" s="220"/>
    </row>
    <row r="204" spans="1:9" ht="30" customHeight="1" x14ac:dyDescent="0.3">
      <c r="A204" s="176" t="s">
        <v>20</v>
      </c>
      <c r="B204" s="177"/>
      <c r="C204" s="178"/>
      <c r="D204" s="178"/>
      <c r="E204" s="178"/>
      <c r="F204" s="178"/>
      <c r="G204" s="178"/>
      <c r="H204" s="178"/>
      <c r="I204" s="179"/>
    </row>
    <row r="205" spans="1:9" ht="30" customHeight="1" x14ac:dyDescent="0.3">
      <c r="A205" s="180"/>
      <c r="B205" s="181"/>
      <c r="C205" s="181"/>
      <c r="D205" s="181"/>
      <c r="E205" s="181"/>
      <c r="F205" s="181"/>
      <c r="G205" s="181"/>
      <c r="H205" s="181"/>
      <c r="I205" s="182"/>
    </row>
    <row r="206" spans="1:9" ht="21" customHeight="1" x14ac:dyDescent="0.3">
      <c r="A206" s="183"/>
      <c r="B206" s="184"/>
      <c r="C206" s="184"/>
      <c r="D206" s="184"/>
      <c r="E206" s="184"/>
      <c r="F206" s="184"/>
      <c r="G206" s="184"/>
      <c r="H206" s="184"/>
      <c r="I206" s="185"/>
    </row>
    <row r="207" spans="1:9" ht="21" customHeight="1" x14ac:dyDescent="0.3">
      <c r="A207" s="91" t="s">
        <v>207</v>
      </c>
      <c r="B207" s="186">
        <f ca="1">TODAY()</f>
        <v>46315</v>
      </c>
      <c r="C207" s="186"/>
      <c r="D207" s="187" t="s">
        <v>141</v>
      </c>
      <c r="E207" s="187"/>
      <c r="F207" s="187"/>
      <c r="G207" s="188"/>
      <c r="H207" s="188"/>
      <c r="I207" s="189"/>
    </row>
    <row r="208" spans="1:9" ht="21" customHeight="1" x14ac:dyDescent="0.3">
      <c r="A208" s="190" t="s">
        <v>211</v>
      </c>
      <c r="B208" s="191"/>
      <c r="C208" s="191"/>
      <c r="D208" s="191"/>
      <c r="E208" s="191"/>
      <c r="F208" s="191"/>
      <c r="G208" s="191"/>
      <c r="H208" s="191"/>
      <c r="I208" s="192"/>
    </row>
    <row r="209" spans="1:9" ht="15" customHeight="1" x14ac:dyDescent="0.3">
      <c r="A209" s="190"/>
      <c r="B209" s="191"/>
      <c r="C209" s="191"/>
      <c r="D209" s="191"/>
      <c r="E209" s="191"/>
      <c r="F209" s="191"/>
      <c r="G209" s="191"/>
      <c r="H209" s="191"/>
      <c r="I209" s="192"/>
    </row>
    <row r="210" spans="1:9" ht="15" thickBot="1" x14ac:dyDescent="0.35">
      <c r="A210" s="193"/>
      <c r="B210" s="194"/>
      <c r="C210" s="194"/>
      <c r="D210" s="194"/>
      <c r="E210" s="194"/>
      <c r="F210" s="194"/>
      <c r="G210" s="194"/>
      <c r="H210" s="194"/>
      <c r="I210" s="195"/>
    </row>
    <row r="211" spans="1:9" ht="41.1" customHeight="1" thickBot="1" x14ac:dyDescent="0.35">
      <c r="A211" s="240" t="str">
        <f>'FM-2'!$I$3</f>
        <v>APS Hazro</v>
      </c>
      <c r="B211" s="241"/>
      <c r="C211" s="241"/>
      <c r="D211" s="241"/>
      <c r="E211" s="241"/>
      <c r="F211" s="241"/>
      <c r="G211" s="241"/>
      <c r="H211" s="241"/>
      <c r="I211" s="242"/>
    </row>
    <row r="212" spans="1:9" ht="21" customHeight="1" thickBot="1" x14ac:dyDescent="0.4">
      <c r="A212" s="129" t="str">
        <f>'FM-2'!$J$3</f>
        <v>ANNUAL EXAM 2024</v>
      </c>
      <c r="B212" s="67"/>
      <c r="C212" s="67"/>
      <c r="D212" s="67"/>
      <c r="E212" s="67"/>
      <c r="F212" s="67"/>
      <c r="G212" s="67"/>
      <c r="H212" s="67"/>
      <c r="I212" s="68"/>
    </row>
    <row r="213" spans="1:9" ht="21" customHeight="1" x14ac:dyDescent="0.35">
      <c r="A213" s="122"/>
      <c r="B213" s="123"/>
      <c r="C213" s="123"/>
      <c r="D213" s="123"/>
      <c r="E213" s="123"/>
      <c r="F213" s="123"/>
      <c r="G213" s="123"/>
      <c r="H213" s="123"/>
      <c r="I213" s="124"/>
    </row>
    <row r="214" spans="1:9" ht="21" customHeight="1" x14ac:dyDescent="0.3">
      <c r="A214" s="221" t="s">
        <v>0</v>
      </c>
      <c r="B214" s="222"/>
      <c r="C214" s="98" t="str">
        <f>'FM-2'!E9</f>
        <v>Ali7</v>
      </c>
      <c r="D214" s="98"/>
      <c r="E214" s="98"/>
      <c r="F214" s="222" t="s">
        <v>1</v>
      </c>
      <c r="G214" s="222"/>
      <c r="H214" s="223" t="str">
        <f>'FM-2'!F9</f>
        <v>Khan 7</v>
      </c>
      <c r="I214" s="224"/>
    </row>
    <row r="215" spans="1:9" ht="21" customHeight="1" x14ac:dyDescent="0.3">
      <c r="A215" s="221" t="s">
        <v>2</v>
      </c>
      <c r="B215" s="222"/>
      <c r="C215" s="92">
        <f>'FM-2'!C9</f>
        <v>1006</v>
      </c>
      <c r="D215" s="93" t="s">
        <v>3</v>
      </c>
      <c r="E215" s="92" t="str">
        <f>'FM-2'!$B$3</f>
        <v>7TH</v>
      </c>
      <c r="F215" s="222" t="s">
        <v>4</v>
      </c>
      <c r="G215" s="222"/>
      <c r="H215" s="225">
        <f>'FM-2'!D9</f>
        <v>7</v>
      </c>
      <c r="I215" s="226"/>
    </row>
    <row r="216" spans="1:9" ht="21" customHeight="1" thickBot="1" x14ac:dyDescent="0.35">
      <c r="A216" s="227" t="s">
        <v>206</v>
      </c>
      <c r="B216" s="228"/>
      <c r="C216" s="94">
        <f>COUNTIF('Marks Input'!$B$4:$B$63,"&gt;0")</f>
        <v>34</v>
      </c>
      <c r="D216" s="93"/>
      <c r="E216" s="95"/>
      <c r="F216" s="93"/>
      <c r="G216" s="93"/>
      <c r="H216" s="96"/>
      <c r="I216" s="97"/>
    </row>
    <row r="217" spans="1:9" ht="15.75" customHeight="1" thickBot="1" x14ac:dyDescent="0.35">
      <c r="A217" s="229" t="s">
        <v>5</v>
      </c>
      <c r="B217" s="231" t="s">
        <v>6</v>
      </c>
      <c r="C217" s="233" t="s">
        <v>7</v>
      </c>
      <c r="D217" s="235" t="s">
        <v>209</v>
      </c>
      <c r="E217" s="229" t="s">
        <v>8</v>
      </c>
      <c r="F217" s="237" t="s">
        <v>9</v>
      </c>
      <c r="G217" s="238"/>
      <c r="H217" s="238"/>
      <c r="I217" s="239"/>
    </row>
    <row r="218" spans="1:9" ht="30" customHeight="1" thickBot="1" x14ac:dyDescent="0.35">
      <c r="A218" s="230"/>
      <c r="B218" s="232"/>
      <c r="C218" s="234"/>
      <c r="D218" s="236"/>
      <c r="E218" s="230"/>
      <c r="F218" s="125" t="s">
        <v>10</v>
      </c>
      <c r="G218" s="126" t="s">
        <v>11</v>
      </c>
      <c r="H218" s="127" t="s">
        <v>12</v>
      </c>
      <c r="I218" s="128" t="s">
        <v>208</v>
      </c>
    </row>
    <row r="219" spans="1:9" ht="15" customHeight="1" thickBot="1" x14ac:dyDescent="0.35">
      <c r="A219" s="118" t="str">
        <f>'Marks Input'!$G$2</f>
        <v>Urdu</v>
      </c>
      <c r="B219" s="106">
        <f>'Marks Input'!$G$3</f>
        <v>100</v>
      </c>
      <c r="C219" s="99">
        <f>'FM-2'!K9</f>
        <v>64</v>
      </c>
      <c r="D219" s="107">
        <f>C219/B219</f>
        <v>0.64</v>
      </c>
      <c r="E219" s="79" t="str">
        <f>IF(D219&gt;0.899,"A+",IF(D219&gt;0.799,"A",IF(D219&gt;0.699,"B",IF(D219&gt;0.599,"C",IF(D219&gt;0.499,"D",IF(D219&gt;0.399,"E","F"))))))</f>
        <v>C</v>
      </c>
      <c r="F219" s="100">
        <f>MAX('Marks Input'!$G$4:$G$37)</f>
        <v>72</v>
      </c>
      <c r="G219" s="101">
        <f>MIN('Marks Input'!$G$4:$G$37)</f>
        <v>40</v>
      </c>
      <c r="H219" s="108">
        <f>'Marks Input'!$G$40</f>
        <v>62.59</v>
      </c>
      <c r="I219" s="76">
        <f>'FM-2'!V9</f>
        <v>18</v>
      </c>
    </row>
    <row r="220" spans="1:9" ht="15" customHeight="1" thickBot="1" x14ac:dyDescent="0.35">
      <c r="A220" s="119" t="str">
        <f>'Marks Input'!$H$2</f>
        <v>English</v>
      </c>
      <c r="B220" s="109">
        <f>'Marks Input'!$H$3</f>
        <v>100</v>
      </c>
      <c r="C220" s="102">
        <f>'FM-2'!L9</f>
        <v>45</v>
      </c>
      <c r="D220" s="110">
        <f>C220/B220</f>
        <v>0.45</v>
      </c>
      <c r="E220" s="79" t="str">
        <f t="shared" ref="E220:E228" si="17">IF(D220&gt;0.899,"A+",IF(D220&gt;0.799,"A",IF(D220&gt;0.699,"B",IF(D220&gt;0.599,"C",IF(D220&gt;0.499,"D",IF(D220&gt;0.399,"E","F"))))))</f>
        <v>E</v>
      </c>
      <c r="F220" s="103">
        <f>MAX('Marks Input'!$H$4:$H$37)</f>
        <v>74</v>
      </c>
      <c r="G220" s="104">
        <f>MIN('Marks Input'!$H$4:$H$37)</f>
        <v>30</v>
      </c>
      <c r="H220" s="111">
        <f>'Marks Input'!$H$40</f>
        <v>43.26</v>
      </c>
      <c r="I220" s="77">
        <f>'FM-2'!W9</f>
        <v>12</v>
      </c>
    </row>
    <row r="221" spans="1:9" ht="15" customHeight="1" thickBot="1" x14ac:dyDescent="0.35">
      <c r="A221" s="119" t="str">
        <f>'Marks Input'!$I$2</f>
        <v>Islamiyat</v>
      </c>
      <c r="B221" s="109">
        <f>'Marks Input'!$I$3</f>
        <v>100</v>
      </c>
      <c r="C221" s="102">
        <f>'FM-2'!M9</f>
        <v>57</v>
      </c>
      <c r="D221" s="110">
        <f t="shared" ref="D221:D226" si="18">C221/B221</f>
        <v>0.56999999999999995</v>
      </c>
      <c r="E221" s="79" t="str">
        <f t="shared" si="17"/>
        <v>D</v>
      </c>
      <c r="F221" s="103">
        <f>MAX('Marks Input'!$I$4:$I$37)</f>
        <v>88</v>
      </c>
      <c r="G221" s="104">
        <f>MIN('Marks Input'!$I$4:$I$37)</f>
        <v>34</v>
      </c>
      <c r="H221" s="111">
        <f>'Marks Input'!$I$40</f>
        <v>48.29</v>
      </c>
      <c r="I221" s="77">
        <f>'FM-2'!X9</f>
        <v>8</v>
      </c>
    </row>
    <row r="222" spans="1:9" ht="15" customHeight="1" thickBot="1" x14ac:dyDescent="0.35">
      <c r="A222" s="119" t="str">
        <f>'Marks Input'!$J$2</f>
        <v>Pak Studies</v>
      </c>
      <c r="B222" s="109">
        <f>'Marks Input'!$J$3</f>
        <v>100</v>
      </c>
      <c r="C222" s="102">
        <f>'FM-2'!N9</f>
        <v>78</v>
      </c>
      <c r="D222" s="110">
        <f t="shared" si="18"/>
        <v>0.78</v>
      </c>
      <c r="E222" s="79" t="str">
        <f t="shared" si="17"/>
        <v>B</v>
      </c>
      <c r="F222" s="103">
        <f>MAX('Marks Input'!$J$4:$J$37)</f>
        <v>96</v>
      </c>
      <c r="G222" s="104">
        <f>MIN('Marks Input'!$J$4:$J$37)</f>
        <v>34</v>
      </c>
      <c r="H222" s="111">
        <f>'Marks Input'!$J$40</f>
        <v>71.03</v>
      </c>
      <c r="I222" s="77">
        <f>'FM-2'!Y9</f>
        <v>7</v>
      </c>
    </row>
    <row r="223" spans="1:9" ht="15" customHeight="1" thickBot="1" x14ac:dyDescent="0.35">
      <c r="A223" s="119" t="str">
        <f>'Marks Input'!$K$2</f>
        <v>Maths</v>
      </c>
      <c r="B223" s="109">
        <f>'Marks Input'!$K$3</f>
        <v>100</v>
      </c>
      <c r="C223" s="102">
        <f>'FM-2'!O9</f>
        <v>40</v>
      </c>
      <c r="D223" s="110">
        <f t="shared" si="18"/>
        <v>0.4</v>
      </c>
      <c r="E223" s="79" t="str">
        <f t="shared" si="17"/>
        <v>E</v>
      </c>
      <c r="F223" s="103">
        <f>MAX('Marks Input'!$K$4:$K$37)</f>
        <v>94</v>
      </c>
      <c r="G223" s="104">
        <f>MIN('Marks Input'!$K$4:$K$37)</f>
        <v>57</v>
      </c>
      <c r="H223" s="111">
        <f>'Marks Input'!$K$40</f>
        <v>75.819999999999993</v>
      </c>
      <c r="I223" s="77">
        <f>'FM-2'!Z9</f>
        <v>19</v>
      </c>
    </row>
    <row r="224" spans="1:9" ht="15" customHeight="1" thickBot="1" x14ac:dyDescent="0.35">
      <c r="A224" s="119" t="str">
        <f>'Marks Input'!$L$2</f>
        <v>Sci./ Che.</v>
      </c>
      <c r="B224" s="109">
        <f>'Marks Input'!$L$3</f>
        <v>100</v>
      </c>
      <c r="C224" s="102">
        <f>'FM-2'!P9</f>
        <v>50</v>
      </c>
      <c r="D224" s="110">
        <f t="shared" si="18"/>
        <v>0.5</v>
      </c>
      <c r="E224" s="79" t="str">
        <f t="shared" si="17"/>
        <v>D</v>
      </c>
      <c r="F224" s="103">
        <f>MAX('Marks Input'!$L$4:$L$37)</f>
        <v>98</v>
      </c>
      <c r="G224" s="104">
        <f>MIN('Marks Input'!$L$4:$L$37)</f>
        <v>40</v>
      </c>
      <c r="H224" s="111">
        <f>'Marks Input'!$L$40</f>
        <v>61.09</v>
      </c>
      <c r="I224" s="77">
        <f>'FM-2'!AA9</f>
        <v>27</v>
      </c>
    </row>
    <row r="225" spans="1:9" ht="15" customHeight="1" thickBot="1" x14ac:dyDescent="0.35">
      <c r="A225" s="119" t="str">
        <f>'Marks Input'!$M$2</f>
        <v>Nazra</v>
      </c>
      <c r="B225" s="109">
        <f>'Marks Input'!$M$3</f>
        <v>100</v>
      </c>
      <c r="C225" s="102">
        <f>'FM-2'!Q9</f>
        <v>53</v>
      </c>
      <c r="D225" s="110">
        <f t="shared" si="18"/>
        <v>0.53</v>
      </c>
      <c r="E225" s="79" t="str">
        <f t="shared" si="17"/>
        <v>D</v>
      </c>
      <c r="F225" s="103">
        <f>MAX('Marks Input'!$M$4:$M$37)</f>
        <v>94</v>
      </c>
      <c r="G225" s="104">
        <f>MIN('Marks Input'!$M$4:$M$37)</f>
        <v>32</v>
      </c>
      <c r="H225" s="111">
        <f>'Marks Input'!$M$40</f>
        <v>57.79</v>
      </c>
      <c r="I225" s="77">
        <f>'FM-2'!AB9</f>
        <v>20</v>
      </c>
    </row>
    <row r="226" spans="1:9" ht="15" customHeight="1" thickBot="1" x14ac:dyDescent="0.35">
      <c r="A226" s="119" t="str">
        <f>'Marks Input'!$N$2</f>
        <v>Physics</v>
      </c>
      <c r="B226" s="109">
        <f>'Marks Input'!$N$3</f>
        <v>100</v>
      </c>
      <c r="C226" s="102">
        <f>'FM-2'!R9</f>
        <v>74</v>
      </c>
      <c r="D226" s="110">
        <f t="shared" si="18"/>
        <v>0.74</v>
      </c>
      <c r="E226" s="79" t="str">
        <f t="shared" si="17"/>
        <v>B</v>
      </c>
      <c r="F226" s="103">
        <f>MAX('Marks Input'!$N$4:$N$37)</f>
        <v>60</v>
      </c>
      <c r="G226" s="104">
        <f>MIN('Marks Input'!$N$4:$N$37)</f>
        <v>18</v>
      </c>
      <c r="H226" s="111">
        <f>'Marks Input'!$N$40</f>
        <v>42.94</v>
      </c>
      <c r="I226" s="77">
        <f>'FM-2'!AC9</f>
        <v>21</v>
      </c>
    </row>
    <row r="227" spans="1:9" ht="15" customHeight="1" thickBot="1" x14ac:dyDescent="0.35">
      <c r="A227" s="120" t="str">
        <f>'Marks Input'!$O$2</f>
        <v>Bio./Comp.</v>
      </c>
      <c r="B227" s="112">
        <f>'Marks Input'!$O$3</f>
        <v>100</v>
      </c>
      <c r="C227" s="113">
        <f>'FM-2'!S9</f>
        <v>53</v>
      </c>
      <c r="D227" s="114">
        <f>C227/B227</f>
        <v>0.53</v>
      </c>
      <c r="E227" s="80" t="str">
        <f t="shared" si="17"/>
        <v>D</v>
      </c>
      <c r="F227" s="115">
        <f>MAX('Marks Input'!$O$4:$O$37)</f>
        <v>40</v>
      </c>
      <c r="G227" s="116">
        <f>MIN('Marks Input'!$O$4:$O$37)</f>
        <v>14</v>
      </c>
      <c r="H227" s="117">
        <f>'Marks Input'!$O$40</f>
        <v>30.44</v>
      </c>
      <c r="I227" s="78">
        <f>'FM-2'!AD9</f>
        <v>20</v>
      </c>
    </row>
    <row r="228" spans="1:9" ht="21" customHeight="1" thickBot="1" x14ac:dyDescent="0.45">
      <c r="A228" s="69" t="s">
        <v>14</v>
      </c>
      <c r="B228" s="70">
        <f>'Marks Input'!$P$3</f>
        <v>900</v>
      </c>
      <c r="C228" s="71">
        <f>'FM-2'!U9</f>
        <v>497</v>
      </c>
      <c r="D228" s="72">
        <f t="shared" ref="D228" si="19">C228/B228</f>
        <v>0.55222222222222217</v>
      </c>
      <c r="E228" s="73" t="str">
        <f t="shared" si="17"/>
        <v>D</v>
      </c>
      <c r="F228" s="70">
        <f>MAX('Marks Input'!$P$4:$P$37)</f>
        <v>673</v>
      </c>
      <c r="G228" s="71">
        <f>MIN('Marks Input'!$P$4:$P$37)</f>
        <v>322</v>
      </c>
      <c r="H228" s="74">
        <f>'Marks Input'!$P$40</f>
        <v>493.26</v>
      </c>
      <c r="I228" s="75">
        <f>'FM-2'!AF9</f>
        <v>18</v>
      </c>
    </row>
    <row r="229" spans="1:9" ht="21" customHeight="1" thickBot="1" x14ac:dyDescent="0.35">
      <c r="A229" s="196" t="s">
        <v>15</v>
      </c>
      <c r="B229" s="197"/>
      <c r="C229" s="197"/>
      <c r="H229" s="82"/>
      <c r="I229" s="83"/>
    </row>
    <row r="230" spans="1:9" ht="35.1" customHeight="1" x14ac:dyDescent="0.3">
      <c r="A230" s="198" t="str">
        <f>IF(D228&gt;0.399,"Promoted Successfully","Not Promoted")</f>
        <v>Promoted Successfully</v>
      </c>
      <c r="B230" s="199"/>
      <c r="C230" s="199"/>
      <c r="D230" s="199"/>
      <c r="E230" s="199"/>
      <c r="F230" s="199"/>
      <c r="G230" s="199"/>
      <c r="H230" s="199"/>
      <c r="I230" s="200"/>
    </row>
    <row r="231" spans="1:9" ht="35.1" customHeight="1" thickBot="1" x14ac:dyDescent="0.35">
      <c r="A231" s="201"/>
      <c r="B231" s="202"/>
      <c r="C231" s="202"/>
      <c r="D231" s="202"/>
      <c r="E231" s="202"/>
      <c r="F231" s="202"/>
      <c r="G231" s="202"/>
      <c r="H231" s="202"/>
      <c r="I231" s="203"/>
    </row>
    <row r="232" spans="1:9" ht="30" customHeight="1" x14ac:dyDescent="0.3">
      <c r="A232" s="84"/>
      <c r="B232" s="85"/>
      <c r="C232" s="85"/>
      <c r="D232" s="121" t="s">
        <v>140</v>
      </c>
      <c r="E232" s="86"/>
      <c r="F232" s="86"/>
      <c r="G232" s="204"/>
      <c r="H232" s="204"/>
      <c r="I232" s="205"/>
    </row>
    <row r="233" spans="1:9" ht="30" customHeight="1" x14ac:dyDescent="0.3">
      <c r="A233" s="84"/>
      <c r="D233" s="121" t="s">
        <v>16</v>
      </c>
      <c r="E233" s="86"/>
      <c r="F233" s="86"/>
      <c r="G233" s="206"/>
      <c r="H233" s="206"/>
      <c r="I233" s="207"/>
    </row>
    <row r="234" spans="1:9" ht="15" customHeight="1" x14ac:dyDescent="0.3">
      <c r="A234" s="84"/>
      <c r="F234" s="208" t="str">
        <f>A211</f>
        <v>APS Hazro</v>
      </c>
      <c r="G234" s="208"/>
      <c r="H234" s="208"/>
      <c r="I234" s="209"/>
    </row>
    <row r="235" spans="1:9" ht="15" customHeight="1" thickBot="1" x14ac:dyDescent="0.35">
      <c r="A235" s="210"/>
      <c r="B235" s="211"/>
      <c r="C235" s="211"/>
      <c r="D235" s="211"/>
      <c r="E235" s="211"/>
      <c r="F235" s="211"/>
      <c r="G235" s="211"/>
      <c r="H235" s="211"/>
      <c r="I235" s="212"/>
    </row>
    <row r="236" spans="1:9" ht="15" customHeight="1" x14ac:dyDescent="0.3">
      <c r="A236" s="213"/>
      <c r="B236" s="214"/>
      <c r="C236" s="214"/>
      <c r="D236" s="214"/>
      <c r="E236" s="214"/>
      <c r="F236" s="214"/>
      <c r="G236" s="214"/>
      <c r="H236" s="214"/>
      <c r="I236" s="215"/>
    </row>
    <row r="237" spans="1:9" ht="21" customHeight="1" x14ac:dyDescent="0.35">
      <c r="A237" s="87" t="s">
        <v>17</v>
      </c>
      <c r="B237" s="105">
        <f>H215</f>
        <v>7</v>
      </c>
      <c r="C237" s="88"/>
      <c r="D237" s="89" t="s">
        <v>3</v>
      </c>
      <c r="E237" s="89" t="str">
        <f>E215</f>
        <v>7TH</v>
      </c>
      <c r="F237" s="90" t="s">
        <v>18</v>
      </c>
      <c r="G237" s="216" t="str">
        <f>E228</f>
        <v>D</v>
      </c>
      <c r="H237" s="216"/>
      <c r="I237" s="217"/>
    </row>
    <row r="238" spans="1:9" ht="30" customHeight="1" x14ac:dyDescent="0.3">
      <c r="A238" s="176" t="s">
        <v>210</v>
      </c>
      <c r="B238" s="177"/>
      <c r="C238" s="218"/>
      <c r="D238" s="218"/>
      <c r="E238" s="187" t="s">
        <v>19</v>
      </c>
      <c r="F238" s="187"/>
      <c r="G238" s="219"/>
      <c r="H238" s="219"/>
      <c r="I238" s="220"/>
    </row>
    <row r="239" spans="1:9" ht="30" customHeight="1" x14ac:dyDescent="0.3">
      <c r="A239" s="176" t="s">
        <v>20</v>
      </c>
      <c r="B239" s="177"/>
      <c r="C239" s="178"/>
      <c r="D239" s="178"/>
      <c r="E239" s="178"/>
      <c r="F239" s="178"/>
      <c r="G239" s="178"/>
      <c r="H239" s="178"/>
      <c r="I239" s="179"/>
    </row>
    <row r="240" spans="1:9" ht="30" customHeight="1" x14ac:dyDescent="0.3">
      <c r="A240" s="180"/>
      <c r="B240" s="181"/>
      <c r="C240" s="181"/>
      <c r="D240" s="181"/>
      <c r="E240" s="181"/>
      <c r="F240" s="181"/>
      <c r="G240" s="181"/>
      <c r="H240" s="181"/>
      <c r="I240" s="182"/>
    </row>
    <row r="241" spans="1:9" ht="21" customHeight="1" x14ac:dyDescent="0.3">
      <c r="A241" s="183"/>
      <c r="B241" s="184"/>
      <c r="C241" s="184"/>
      <c r="D241" s="184"/>
      <c r="E241" s="184"/>
      <c r="F241" s="184"/>
      <c r="G241" s="184"/>
      <c r="H241" s="184"/>
      <c r="I241" s="185"/>
    </row>
    <row r="242" spans="1:9" ht="21" customHeight="1" x14ac:dyDescent="0.3">
      <c r="A242" s="91" t="s">
        <v>207</v>
      </c>
      <c r="B242" s="186">
        <f ca="1">TODAY()</f>
        <v>46315</v>
      </c>
      <c r="C242" s="186"/>
      <c r="D242" s="187" t="s">
        <v>141</v>
      </c>
      <c r="E242" s="187"/>
      <c r="F242" s="187"/>
      <c r="G242" s="188"/>
      <c r="H242" s="188"/>
      <c r="I242" s="189"/>
    </row>
    <row r="243" spans="1:9" ht="21" customHeight="1" x14ac:dyDescent="0.3">
      <c r="A243" s="190" t="s">
        <v>211</v>
      </c>
      <c r="B243" s="191"/>
      <c r="C243" s="191"/>
      <c r="D243" s="191"/>
      <c r="E243" s="191"/>
      <c r="F243" s="191"/>
      <c r="G243" s="191"/>
      <c r="H243" s="191"/>
      <c r="I243" s="192"/>
    </row>
    <row r="244" spans="1:9" ht="15" customHeight="1" x14ac:dyDescent="0.3">
      <c r="A244" s="190"/>
      <c r="B244" s="191"/>
      <c r="C244" s="191"/>
      <c r="D244" s="191"/>
      <c r="E244" s="191"/>
      <c r="F244" s="191"/>
      <c r="G244" s="191"/>
      <c r="H244" s="191"/>
      <c r="I244" s="192"/>
    </row>
    <row r="245" spans="1:9" ht="15" thickBot="1" x14ac:dyDescent="0.35">
      <c r="A245" s="193"/>
      <c r="B245" s="194"/>
      <c r="C245" s="194"/>
      <c r="D245" s="194"/>
      <c r="E245" s="194"/>
      <c r="F245" s="194"/>
      <c r="G245" s="194"/>
      <c r="H245" s="194"/>
      <c r="I245" s="195"/>
    </row>
    <row r="246" spans="1:9" ht="41.1" customHeight="1" thickBot="1" x14ac:dyDescent="0.35">
      <c r="A246" s="240" t="str">
        <f>'FM-2'!$I$3</f>
        <v>APS Hazro</v>
      </c>
      <c r="B246" s="241"/>
      <c r="C246" s="241"/>
      <c r="D246" s="241"/>
      <c r="E246" s="241"/>
      <c r="F246" s="241"/>
      <c r="G246" s="241"/>
      <c r="H246" s="241"/>
      <c r="I246" s="242"/>
    </row>
    <row r="247" spans="1:9" ht="21" customHeight="1" thickBot="1" x14ac:dyDescent="0.4">
      <c r="A247" s="129" t="str">
        <f>'FM-2'!$J$3</f>
        <v>ANNUAL EXAM 2024</v>
      </c>
      <c r="B247" s="67"/>
      <c r="C247" s="67"/>
      <c r="D247" s="67"/>
      <c r="E247" s="67"/>
      <c r="F247" s="67"/>
      <c r="G247" s="67"/>
      <c r="H247" s="67"/>
      <c r="I247" s="68"/>
    </row>
    <row r="248" spans="1:9" ht="21" customHeight="1" x14ac:dyDescent="0.35">
      <c r="A248" s="122"/>
      <c r="B248" s="123"/>
      <c r="C248" s="123"/>
      <c r="D248" s="123"/>
      <c r="E248" s="123"/>
      <c r="F248" s="123"/>
      <c r="G248" s="123"/>
      <c r="H248" s="123"/>
      <c r="I248" s="124"/>
    </row>
    <row r="249" spans="1:9" ht="21" customHeight="1" x14ac:dyDescent="0.3">
      <c r="A249" s="221" t="s">
        <v>0</v>
      </c>
      <c r="B249" s="222"/>
      <c r="C249" s="98" t="str">
        <f>'FM-2'!E10</f>
        <v>Ali8</v>
      </c>
      <c r="D249" s="98"/>
      <c r="E249" s="98"/>
      <c r="F249" s="222" t="s">
        <v>1</v>
      </c>
      <c r="G249" s="222"/>
      <c r="H249" s="223" t="str">
        <f>'FM-2'!F10</f>
        <v>Khan 8</v>
      </c>
      <c r="I249" s="224"/>
    </row>
    <row r="250" spans="1:9" ht="21" customHeight="1" x14ac:dyDescent="0.3">
      <c r="A250" s="221" t="s">
        <v>2</v>
      </c>
      <c r="B250" s="222"/>
      <c r="C250" s="92">
        <f>'FM-2'!C10</f>
        <v>1007</v>
      </c>
      <c r="D250" s="93" t="s">
        <v>3</v>
      </c>
      <c r="E250" s="92" t="str">
        <f>'FM-2'!$B$3</f>
        <v>7TH</v>
      </c>
      <c r="F250" s="222" t="s">
        <v>4</v>
      </c>
      <c r="G250" s="222"/>
      <c r="H250" s="225">
        <f>'FM-2'!D10</f>
        <v>8</v>
      </c>
      <c r="I250" s="226"/>
    </row>
    <row r="251" spans="1:9" ht="21" customHeight="1" thickBot="1" x14ac:dyDescent="0.35">
      <c r="A251" s="227" t="s">
        <v>206</v>
      </c>
      <c r="B251" s="228"/>
      <c r="C251" s="94">
        <f>COUNTIF('Marks Input'!$B$4:$B$63,"&gt;0")</f>
        <v>34</v>
      </c>
      <c r="D251" s="93"/>
      <c r="E251" s="95"/>
      <c r="F251" s="93"/>
      <c r="G251" s="93"/>
      <c r="H251" s="96"/>
      <c r="I251" s="97"/>
    </row>
    <row r="252" spans="1:9" ht="15.75" customHeight="1" thickBot="1" x14ac:dyDescent="0.35">
      <c r="A252" s="229" t="s">
        <v>5</v>
      </c>
      <c r="B252" s="231" t="s">
        <v>6</v>
      </c>
      <c r="C252" s="233" t="s">
        <v>7</v>
      </c>
      <c r="D252" s="235" t="s">
        <v>209</v>
      </c>
      <c r="E252" s="229" t="s">
        <v>8</v>
      </c>
      <c r="F252" s="237" t="s">
        <v>9</v>
      </c>
      <c r="G252" s="238"/>
      <c r="H252" s="238"/>
      <c r="I252" s="239"/>
    </row>
    <row r="253" spans="1:9" ht="30" customHeight="1" thickBot="1" x14ac:dyDescent="0.35">
      <c r="A253" s="230"/>
      <c r="B253" s="232"/>
      <c r="C253" s="234"/>
      <c r="D253" s="236"/>
      <c r="E253" s="230"/>
      <c r="F253" s="125" t="s">
        <v>10</v>
      </c>
      <c r="G253" s="126" t="s">
        <v>11</v>
      </c>
      <c r="H253" s="127" t="s">
        <v>12</v>
      </c>
      <c r="I253" s="128" t="s">
        <v>208</v>
      </c>
    </row>
    <row r="254" spans="1:9" ht="15" customHeight="1" thickBot="1" x14ac:dyDescent="0.35">
      <c r="A254" s="118" t="str">
        <f>'Marks Input'!$G$2</f>
        <v>Urdu</v>
      </c>
      <c r="B254" s="106">
        <f>'Marks Input'!$G$3</f>
        <v>100</v>
      </c>
      <c r="C254" s="99">
        <f>'FM-2'!K10</f>
        <v>69</v>
      </c>
      <c r="D254" s="107">
        <f>C254/B254</f>
        <v>0.69</v>
      </c>
      <c r="E254" s="79" t="str">
        <f>IF(D254&gt;0.899,"A+",IF(D254&gt;0.799,"A",IF(D254&gt;0.699,"B",IF(D254&gt;0.599,"C",IF(D254&gt;0.499,"D",IF(D254&gt;0.399,"E","F"))))))</f>
        <v>C</v>
      </c>
      <c r="F254" s="100">
        <f>MAX('Marks Input'!$G$4:$G$37)</f>
        <v>72</v>
      </c>
      <c r="G254" s="101">
        <f>MIN('Marks Input'!$G$4:$G$37)</f>
        <v>40</v>
      </c>
      <c r="H254" s="108">
        <f>'Marks Input'!$G$40</f>
        <v>62.59</v>
      </c>
      <c r="I254" s="76">
        <f>'FM-2'!V10</f>
        <v>6</v>
      </c>
    </row>
    <row r="255" spans="1:9" ht="15" customHeight="1" thickBot="1" x14ac:dyDescent="0.35">
      <c r="A255" s="119" t="str">
        <f>'Marks Input'!$H$2</f>
        <v>English</v>
      </c>
      <c r="B255" s="109">
        <f>'Marks Input'!$H$3</f>
        <v>100</v>
      </c>
      <c r="C255" s="102">
        <f>'FM-2'!L10</f>
        <v>33</v>
      </c>
      <c r="D255" s="110">
        <f>C255/B255</f>
        <v>0.33</v>
      </c>
      <c r="E255" s="79" t="str">
        <f t="shared" ref="E255:E263" si="20">IF(D255&gt;0.899,"A+",IF(D255&gt;0.799,"A",IF(D255&gt;0.699,"B",IF(D255&gt;0.599,"C",IF(D255&gt;0.499,"D",IF(D255&gt;0.399,"E","F"))))))</f>
        <v>F</v>
      </c>
      <c r="F255" s="103">
        <f>MAX('Marks Input'!$H$4:$H$37)</f>
        <v>74</v>
      </c>
      <c r="G255" s="104">
        <f>MIN('Marks Input'!$H$4:$H$37)</f>
        <v>30</v>
      </c>
      <c r="H255" s="111">
        <f>'Marks Input'!$H$40</f>
        <v>43.26</v>
      </c>
      <c r="I255" s="77">
        <f>'FM-2'!W10</f>
        <v>19</v>
      </c>
    </row>
    <row r="256" spans="1:9" ht="15" customHeight="1" thickBot="1" x14ac:dyDescent="0.35">
      <c r="A256" s="119" t="str">
        <f>'Marks Input'!$I$2</f>
        <v>Islamiyat</v>
      </c>
      <c r="B256" s="109">
        <f>'Marks Input'!$I$3</f>
        <v>100</v>
      </c>
      <c r="C256" s="102">
        <f>'FM-2'!M10</f>
        <v>60</v>
      </c>
      <c r="D256" s="110">
        <f t="shared" ref="D256:D261" si="21">C256/B256</f>
        <v>0.6</v>
      </c>
      <c r="E256" s="79" t="str">
        <f t="shared" si="20"/>
        <v>C</v>
      </c>
      <c r="F256" s="103">
        <f>MAX('Marks Input'!$I$4:$I$37)</f>
        <v>88</v>
      </c>
      <c r="G256" s="104">
        <f>MIN('Marks Input'!$I$4:$I$37)</f>
        <v>34</v>
      </c>
      <c r="H256" s="111">
        <f>'Marks Input'!$I$40</f>
        <v>48.29</v>
      </c>
      <c r="I256" s="77">
        <f>'FM-2'!X10</f>
        <v>1</v>
      </c>
    </row>
    <row r="257" spans="1:9" ht="15" customHeight="1" thickBot="1" x14ac:dyDescent="0.35">
      <c r="A257" s="119" t="str">
        <f>'Marks Input'!$J$2</f>
        <v>Pak Studies</v>
      </c>
      <c r="B257" s="109">
        <f>'Marks Input'!$J$3</f>
        <v>100</v>
      </c>
      <c r="C257" s="102">
        <f>'FM-2'!N10</f>
        <v>48</v>
      </c>
      <c r="D257" s="110">
        <f t="shared" si="21"/>
        <v>0.48</v>
      </c>
      <c r="E257" s="79" t="str">
        <f t="shared" si="20"/>
        <v>E</v>
      </c>
      <c r="F257" s="103">
        <f>MAX('Marks Input'!$J$4:$J$37)</f>
        <v>96</v>
      </c>
      <c r="G257" s="104">
        <f>MIN('Marks Input'!$J$4:$J$37)</f>
        <v>34</v>
      </c>
      <c r="H257" s="111">
        <f>'Marks Input'!$J$40</f>
        <v>71.03</v>
      </c>
      <c r="I257" s="77">
        <f>'FM-2'!Y10</f>
        <v>26</v>
      </c>
    </row>
    <row r="258" spans="1:9" ht="15" customHeight="1" thickBot="1" x14ac:dyDescent="0.35">
      <c r="A258" s="119" t="str">
        <f>'Marks Input'!$K$2</f>
        <v>Maths</v>
      </c>
      <c r="B258" s="109">
        <f>'Marks Input'!$K$3</f>
        <v>100</v>
      </c>
      <c r="C258" s="102">
        <f>'FM-2'!O10</f>
        <v>50</v>
      </c>
      <c r="D258" s="110">
        <f t="shared" si="21"/>
        <v>0.5</v>
      </c>
      <c r="E258" s="79" t="str">
        <f t="shared" si="20"/>
        <v>D</v>
      </c>
      <c r="F258" s="103">
        <f>MAX('Marks Input'!$K$4:$K$37)</f>
        <v>94</v>
      </c>
      <c r="G258" s="104">
        <f>MIN('Marks Input'!$K$4:$K$37)</f>
        <v>57</v>
      </c>
      <c r="H258" s="111">
        <f>'Marks Input'!$K$40</f>
        <v>75.819999999999993</v>
      </c>
      <c r="I258" s="77">
        <f>'FM-2'!Z10</f>
        <v>12</v>
      </c>
    </row>
    <row r="259" spans="1:9" ht="15" customHeight="1" thickBot="1" x14ac:dyDescent="0.35">
      <c r="A259" s="119" t="str">
        <f>'Marks Input'!$L$2</f>
        <v>Sci./ Che.</v>
      </c>
      <c r="B259" s="109">
        <f>'Marks Input'!$L$3</f>
        <v>100</v>
      </c>
      <c r="C259" s="102">
        <f>'FM-2'!P10</f>
        <v>83</v>
      </c>
      <c r="D259" s="110">
        <f t="shared" si="21"/>
        <v>0.83</v>
      </c>
      <c r="E259" s="79" t="str">
        <f t="shared" si="20"/>
        <v>A</v>
      </c>
      <c r="F259" s="103">
        <f>MAX('Marks Input'!$L$4:$L$37)</f>
        <v>98</v>
      </c>
      <c r="G259" s="104">
        <f>MIN('Marks Input'!$L$4:$L$37)</f>
        <v>40</v>
      </c>
      <c r="H259" s="111">
        <f>'Marks Input'!$L$40</f>
        <v>61.09</v>
      </c>
      <c r="I259" s="77">
        <f>'FM-2'!AA10</f>
        <v>13</v>
      </c>
    </row>
    <row r="260" spans="1:9" ht="15" customHeight="1" thickBot="1" x14ac:dyDescent="0.35">
      <c r="A260" s="119" t="str">
        <f>'Marks Input'!$M$2</f>
        <v>Nazra</v>
      </c>
      <c r="B260" s="109">
        <f>'Marks Input'!$M$3</f>
        <v>100</v>
      </c>
      <c r="C260" s="102">
        <f>'FM-2'!Q10</f>
        <v>73</v>
      </c>
      <c r="D260" s="110">
        <f t="shared" si="21"/>
        <v>0.73</v>
      </c>
      <c r="E260" s="79" t="str">
        <f t="shared" si="20"/>
        <v>B</v>
      </c>
      <c r="F260" s="103">
        <f>MAX('Marks Input'!$M$4:$M$37)</f>
        <v>94</v>
      </c>
      <c r="G260" s="104">
        <f>MIN('Marks Input'!$M$4:$M$37)</f>
        <v>32</v>
      </c>
      <c r="H260" s="111">
        <f>'Marks Input'!$M$40</f>
        <v>57.79</v>
      </c>
      <c r="I260" s="77">
        <f>'FM-2'!AB10</f>
        <v>7</v>
      </c>
    </row>
    <row r="261" spans="1:9" ht="15" customHeight="1" thickBot="1" x14ac:dyDescent="0.35">
      <c r="A261" s="119" t="str">
        <f>'Marks Input'!$N$2</f>
        <v>Physics</v>
      </c>
      <c r="B261" s="109">
        <f>'Marks Input'!$N$3</f>
        <v>100</v>
      </c>
      <c r="C261" s="102">
        <f>'FM-2'!R10</f>
        <v>93</v>
      </c>
      <c r="D261" s="110">
        <f t="shared" si="21"/>
        <v>0.93</v>
      </c>
      <c r="E261" s="79" t="str">
        <f t="shared" si="20"/>
        <v>A+</v>
      </c>
      <c r="F261" s="103">
        <f>MAX('Marks Input'!$N$4:$N$37)</f>
        <v>60</v>
      </c>
      <c r="G261" s="104">
        <f>MIN('Marks Input'!$N$4:$N$37)</f>
        <v>18</v>
      </c>
      <c r="H261" s="111">
        <f>'Marks Input'!$N$40</f>
        <v>42.94</v>
      </c>
      <c r="I261" s="77">
        <f>'FM-2'!AC10</f>
        <v>4</v>
      </c>
    </row>
    <row r="262" spans="1:9" ht="15" customHeight="1" thickBot="1" x14ac:dyDescent="0.35">
      <c r="A262" s="120" t="str">
        <f>'Marks Input'!$O$2</f>
        <v>Bio./Comp.</v>
      </c>
      <c r="B262" s="112">
        <f>'Marks Input'!$O$3</f>
        <v>100</v>
      </c>
      <c r="C262" s="113">
        <f>'FM-2'!S10</f>
        <v>73</v>
      </c>
      <c r="D262" s="114">
        <f>C262/B262</f>
        <v>0.73</v>
      </c>
      <c r="E262" s="80" t="str">
        <f t="shared" si="20"/>
        <v>B</v>
      </c>
      <c r="F262" s="115">
        <f>MAX('Marks Input'!$O$4:$O$37)</f>
        <v>40</v>
      </c>
      <c r="G262" s="116">
        <f>MIN('Marks Input'!$O$4:$O$37)</f>
        <v>14</v>
      </c>
      <c r="H262" s="117">
        <f>'Marks Input'!$O$40</f>
        <v>30.44</v>
      </c>
      <c r="I262" s="78">
        <f>'FM-2'!AD10</f>
        <v>7</v>
      </c>
    </row>
    <row r="263" spans="1:9" ht="21" customHeight="1" thickBot="1" x14ac:dyDescent="0.45">
      <c r="A263" s="69" t="s">
        <v>14</v>
      </c>
      <c r="B263" s="70">
        <f>'Marks Input'!$P$3</f>
        <v>900</v>
      </c>
      <c r="C263" s="71">
        <f>'FM-2'!U10</f>
        <v>548</v>
      </c>
      <c r="D263" s="72">
        <f t="shared" ref="D263" si="22">C263/B263</f>
        <v>0.60888888888888892</v>
      </c>
      <c r="E263" s="73" t="str">
        <f t="shared" si="20"/>
        <v>C</v>
      </c>
      <c r="F263" s="70">
        <f>MAX('Marks Input'!$P$4:$P$37)</f>
        <v>673</v>
      </c>
      <c r="G263" s="71">
        <f>MIN('Marks Input'!$P$4:$P$37)</f>
        <v>322</v>
      </c>
      <c r="H263" s="74">
        <f>'Marks Input'!$P$40</f>
        <v>493.26</v>
      </c>
      <c r="I263" s="75">
        <f>'FM-2'!AF10</f>
        <v>10</v>
      </c>
    </row>
    <row r="264" spans="1:9" ht="21" customHeight="1" thickBot="1" x14ac:dyDescent="0.35">
      <c r="A264" s="196" t="s">
        <v>15</v>
      </c>
      <c r="B264" s="197"/>
      <c r="C264" s="197"/>
      <c r="H264" s="82"/>
      <c r="I264" s="83"/>
    </row>
    <row r="265" spans="1:9" ht="35.1" customHeight="1" x14ac:dyDescent="0.3">
      <c r="A265" s="198" t="str">
        <f>IF(D263&gt;0.399,"Promoted Successfully","Not Promoted")</f>
        <v>Promoted Successfully</v>
      </c>
      <c r="B265" s="199"/>
      <c r="C265" s="199"/>
      <c r="D265" s="199"/>
      <c r="E265" s="199"/>
      <c r="F265" s="199"/>
      <c r="G265" s="199"/>
      <c r="H265" s="199"/>
      <c r="I265" s="200"/>
    </row>
    <row r="266" spans="1:9" ht="35.1" customHeight="1" thickBot="1" x14ac:dyDescent="0.35">
      <c r="A266" s="201"/>
      <c r="B266" s="202"/>
      <c r="C266" s="202"/>
      <c r="D266" s="202"/>
      <c r="E266" s="202"/>
      <c r="F266" s="202"/>
      <c r="G266" s="202"/>
      <c r="H266" s="202"/>
      <c r="I266" s="203"/>
    </row>
    <row r="267" spans="1:9" ht="30" customHeight="1" x14ac:dyDescent="0.3">
      <c r="A267" s="84"/>
      <c r="B267" s="85"/>
      <c r="C267" s="85"/>
      <c r="D267" s="121" t="s">
        <v>140</v>
      </c>
      <c r="E267" s="86"/>
      <c r="F267" s="86"/>
      <c r="G267" s="204"/>
      <c r="H267" s="204"/>
      <c r="I267" s="205"/>
    </row>
    <row r="268" spans="1:9" ht="30" customHeight="1" x14ac:dyDescent="0.3">
      <c r="A268" s="84"/>
      <c r="D268" s="121" t="s">
        <v>16</v>
      </c>
      <c r="E268" s="86"/>
      <c r="F268" s="86"/>
      <c r="G268" s="206"/>
      <c r="H268" s="206"/>
      <c r="I268" s="207"/>
    </row>
    <row r="269" spans="1:9" ht="15" customHeight="1" x14ac:dyDescent="0.3">
      <c r="A269" s="84"/>
      <c r="F269" s="208" t="str">
        <f>A246</f>
        <v>APS Hazro</v>
      </c>
      <c r="G269" s="208"/>
      <c r="H269" s="208"/>
      <c r="I269" s="209"/>
    </row>
    <row r="270" spans="1:9" ht="15" customHeight="1" thickBot="1" x14ac:dyDescent="0.35">
      <c r="A270" s="210"/>
      <c r="B270" s="211"/>
      <c r="C270" s="211"/>
      <c r="D270" s="211"/>
      <c r="E270" s="211"/>
      <c r="F270" s="211"/>
      <c r="G270" s="211"/>
      <c r="H270" s="211"/>
      <c r="I270" s="212"/>
    </row>
    <row r="271" spans="1:9" ht="15" customHeight="1" x14ac:dyDescent="0.3">
      <c r="A271" s="213"/>
      <c r="B271" s="214"/>
      <c r="C271" s="214"/>
      <c r="D271" s="214"/>
      <c r="E271" s="214"/>
      <c r="F271" s="214"/>
      <c r="G271" s="214"/>
      <c r="H271" s="214"/>
      <c r="I271" s="215"/>
    </row>
    <row r="272" spans="1:9" ht="21" customHeight="1" x14ac:dyDescent="0.35">
      <c r="A272" s="87" t="s">
        <v>17</v>
      </c>
      <c r="B272" s="105">
        <f>H250</f>
        <v>8</v>
      </c>
      <c r="C272" s="88"/>
      <c r="D272" s="89" t="s">
        <v>3</v>
      </c>
      <c r="E272" s="89" t="str">
        <f>E250</f>
        <v>7TH</v>
      </c>
      <c r="F272" s="90" t="s">
        <v>18</v>
      </c>
      <c r="G272" s="216" t="str">
        <f>E263</f>
        <v>C</v>
      </c>
      <c r="H272" s="216"/>
      <c r="I272" s="217"/>
    </row>
    <row r="273" spans="1:9" ht="30" customHeight="1" x14ac:dyDescent="0.3">
      <c r="A273" s="176" t="s">
        <v>210</v>
      </c>
      <c r="B273" s="177"/>
      <c r="C273" s="218"/>
      <c r="D273" s="218"/>
      <c r="E273" s="187" t="s">
        <v>19</v>
      </c>
      <c r="F273" s="187"/>
      <c r="G273" s="219"/>
      <c r="H273" s="219"/>
      <c r="I273" s="220"/>
    </row>
    <row r="274" spans="1:9" ht="30" customHeight="1" x14ac:dyDescent="0.3">
      <c r="A274" s="176" t="s">
        <v>20</v>
      </c>
      <c r="B274" s="177"/>
      <c r="C274" s="178"/>
      <c r="D274" s="178"/>
      <c r="E274" s="178"/>
      <c r="F274" s="178"/>
      <c r="G274" s="178"/>
      <c r="H274" s="178"/>
      <c r="I274" s="179"/>
    </row>
    <row r="275" spans="1:9" ht="30" customHeight="1" x14ac:dyDescent="0.3">
      <c r="A275" s="180"/>
      <c r="B275" s="181"/>
      <c r="C275" s="181"/>
      <c r="D275" s="181"/>
      <c r="E275" s="181"/>
      <c r="F275" s="181"/>
      <c r="G275" s="181"/>
      <c r="H275" s="181"/>
      <c r="I275" s="182"/>
    </row>
    <row r="276" spans="1:9" ht="21" customHeight="1" x14ac:dyDescent="0.3">
      <c r="A276" s="183"/>
      <c r="B276" s="184"/>
      <c r="C276" s="184"/>
      <c r="D276" s="184"/>
      <c r="E276" s="184"/>
      <c r="F276" s="184"/>
      <c r="G276" s="184"/>
      <c r="H276" s="184"/>
      <c r="I276" s="185"/>
    </row>
    <row r="277" spans="1:9" ht="21" customHeight="1" x14ac:dyDescent="0.3">
      <c r="A277" s="91" t="s">
        <v>207</v>
      </c>
      <c r="B277" s="186">
        <f ca="1">TODAY()</f>
        <v>46315</v>
      </c>
      <c r="C277" s="186"/>
      <c r="D277" s="187" t="s">
        <v>141</v>
      </c>
      <c r="E277" s="187"/>
      <c r="F277" s="187"/>
      <c r="G277" s="188"/>
      <c r="H277" s="188"/>
      <c r="I277" s="189"/>
    </row>
    <row r="278" spans="1:9" ht="21" customHeight="1" x14ac:dyDescent="0.3">
      <c r="A278" s="190" t="s">
        <v>211</v>
      </c>
      <c r="B278" s="191"/>
      <c r="C278" s="191"/>
      <c r="D278" s="191"/>
      <c r="E278" s="191"/>
      <c r="F278" s="191"/>
      <c r="G278" s="191"/>
      <c r="H278" s="191"/>
      <c r="I278" s="192"/>
    </row>
    <row r="279" spans="1:9" ht="15" customHeight="1" x14ac:dyDescent="0.3">
      <c r="A279" s="190"/>
      <c r="B279" s="191"/>
      <c r="C279" s="191"/>
      <c r="D279" s="191"/>
      <c r="E279" s="191"/>
      <c r="F279" s="191"/>
      <c r="G279" s="191"/>
      <c r="H279" s="191"/>
      <c r="I279" s="192"/>
    </row>
    <row r="280" spans="1:9" ht="15" thickBot="1" x14ac:dyDescent="0.35">
      <c r="A280" s="193"/>
      <c r="B280" s="194"/>
      <c r="C280" s="194"/>
      <c r="D280" s="194"/>
      <c r="E280" s="194"/>
      <c r="F280" s="194"/>
      <c r="G280" s="194"/>
      <c r="H280" s="194"/>
      <c r="I280" s="195"/>
    </row>
    <row r="281" spans="1:9" ht="41.1" customHeight="1" thickBot="1" x14ac:dyDescent="0.35">
      <c r="A281" s="240" t="str">
        <f>'FM-2'!$I$3</f>
        <v>APS Hazro</v>
      </c>
      <c r="B281" s="241"/>
      <c r="C281" s="241"/>
      <c r="D281" s="241"/>
      <c r="E281" s="241"/>
      <c r="F281" s="241"/>
      <c r="G281" s="241"/>
      <c r="H281" s="241"/>
      <c r="I281" s="242"/>
    </row>
    <row r="282" spans="1:9" ht="21" customHeight="1" thickBot="1" x14ac:dyDescent="0.4">
      <c r="A282" s="129" t="str">
        <f>'FM-2'!$J$3</f>
        <v>ANNUAL EXAM 2024</v>
      </c>
      <c r="B282" s="67"/>
      <c r="C282" s="67"/>
      <c r="D282" s="67"/>
      <c r="E282" s="67"/>
      <c r="F282" s="67"/>
      <c r="G282" s="67"/>
      <c r="H282" s="67"/>
      <c r="I282" s="68"/>
    </row>
    <row r="283" spans="1:9" ht="21" customHeight="1" x14ac:dyDescent="0.35">
      <c r="A283" s="122"/>
      <c r="B283" s="123"/>
      <c r="C283" s="123"/>
      <c r="D283" s="123"/>
      <c r="E283" s="123"/>
      <c r="F283" s="123"/>
      <c r="G283" s="123"/>
      <c r="H283" s="123"/>
      <c r="I283" s="124"/>
    </row>
    <row r="284" spans="1:9" ht="21" customHeight="1" x14ac:dyDescent="0.3">
      <c r="A284" s="221" t="s">
        <v>0</v>
      </c>
      <c r="B284" s="222"/>
      <c r="C284" s="98" t="str">
        <f>'FM-2'!E11</f>
        <v>Ali9</v>
      </c>
      <c r="D284" s="98"/>
      <c r="E284" s="98"/>
      <c r="F284" s="222" t="s">
        <v>1</v>
      </c>
      <c r="G284" s="222"/>
      <c r="H284" s="223" t="str">
        <f>'FM-2'!F11</f>
        <v>Khan 9</v>
      </c>
      <c r="I284" s="224"/>
    </row>
    <row r="285" spans="1:9" ht="21" customHeight="1" x14ac:dyDescent="0.3">
      <c r="A285" s="221" t="s">
        <v>2</v>
      </c>
      <c r="B285" s="222"/>
      <c r="C285" s="92">
        <f>'FM-2'!C11</f>
        <v>1008</v>
      </c>
      <c r="D285" s="93" t="s">
        <v>3</v>
      </c>
      <c r="E285" s="92" t="str">
        <f>'FM-2'!$B$3</f>
        <v>7TH</v>
      </c>
      <c r="F285" s="222" t="s">
        <v>4</v>
      </c>
      <c r="G285" s="222"/>
      <c r="H285" s="225">
        <f>'FM-2'!D11</f>
        <v>9</v>
      </c>
      <c r="I285" s="226"/>
    </row>
    <row r="286" spans="1:9" ht="21" customHeight="1" thickBot="1" x14ac:dyDescent="0.35">
      <c r="A286" s="227" t="s">
        <v>206</v>
      </c>
      <c r="B286" s="228"/>
      <c r="C286" s="94">
        <f>COUNTIF('Marks Input'!$B$4:$B$63,"&gt;0")</f>
        <v>34</v>
      </c>
      <c r="D286" s="93"/>
      <c r="E286" s="95"/>
      <c r="F286" s="93"/>
      <c r="G286" s="93"/>
      <c r="H286" s="96"/>
      <c r="I286" s="97"/>
    </row>
    <row r="287" spans="1:9" ht="15.75" customHeight="1" thickBot="1" x14ac:dyDescent="0.35">
      <c r="A287" s="229" t="s">
        <v>5</v>
      </c>
      <c r="B287" s="231" t="s">
        <v>6</v>
      </c>
      <c r="C287" s="233" t="s">
        <v>7</v>
      </c>
      <c r="D287" s="235" t="s">
        <v>209</v>
      </c>
      <c r="E287" s="229" t="s">
        <v>8</v>
      </c>
      <c r="F287" s="237" t="s">
        <v>9</v>
      </c>
      <c r="G287" s="238"/>
      <c r="H287" s="238"/>
      <c r="I287" s="239"/>
    </row>
    <row r="288" spans="1:9" ht="30" customHeight="1" thickBot="1" x14ac:dyDescent="0.35">
      <c r="A288" s="230"/>
      <c r="B288" s="232"/>
      <c r="C288" s="234"/>
      <c r="D288" s="236"/>
      <c r="E288" s="230"/>
      <c r="F288" s="125" t="s">
        <v>10</v>
      </c>
      <c r="G288" s="126" t="s">
        <v>11</v>
      </c>
      <c r="H288" s="127" t="s">
        <v>12</v>
      </c>
      <c r="I288" s="128" t="s">
        <v>208</v>
      </c>
    </row>
    <row r="289" spans="1:9" ht="15" customHeight="1" thickBot="1" x14ac:dyDescent="0.35">
      <c r="A289" s="118" t="str">
        <f>'Marks Input'!$G$2</f>
        <v>Urdu</v>
      </c>
      <c r="B289" s="106">
        <f>'Marks Input'!$G$3</f>
        <v>100</v>
      </c>
      <c r="C289" s="99">
        <f>'FM-2'!K11</f>
        <v>65</v>
      </c>
      <c r="D289" s="107">
        <f>C289/B289</f>
        <v>0.65</v>
      </c>
      <c r="E289" s="79" t="str">
        <f>IF(D289&gt;0.899,"A+",IF(D289&gt;0.799,"A",IF(D289&gt;0.699,"B",IF(D289&gt;0.599,"C",IF(D289&gt;0.499,"D",IF(D289&gt;0.399,"E","F"))))))</f>
        <v>C</v>
      </c>
      <c r="F289" s="100">
        <f>MAX('Marks Input'!$G$4:$G$37)</f>
        <v>72</v>
      </c>
      <c r="G289" s="101">
        <f>MIN('Marks Input'!$G$4:$G$37)</f>
        <v>40</v>
      </c>
      <c r="H289" s="108">
        <f>'Marks Input'!$G$40</f>
        <v>62.59</v>
      </c>
      <c r="I289" s="76">
        <f>'FM-2'!V11</f>
        <v>15</v>
      </c>
    </row>
    <row r="290" spans="1:9" ht="15" customHeight="1" thickBot="1" x14ac:dyDescent="0.35">
      <c r="A290" s="119" t="str">
        <f>'Marks Input'!$H$2</f>
        <v>English</v>
      </c>
      <c r="B290" s="109">
        <f>'Marks Input'!$H$3</f>
        <v>100</v>
      </c>
      <c r="C290" s="102">
        <f>'FM-2'!L11</f>
        <v>33</v>
      </c>
      <c r="D290" s="110">
        <f>C290/B290</f>
        <v>0.33</v>
      </c>
      <c r="E290" s="79" t="str">
        <f t="shared" ref="E290:E298" si="23">IF(D290&gt;0.899,"A+",IF(D290&gt;0.799,"A",IF(D290&gt;0.699,"B",IF(D290&gt;0.599,"C",IF(D290&gt;0.499,"D",IF(D290&gt;0.399,"E","F"))))))</f>
        <v>F</v>
      </c>
      <c r="F290" s="103">
        <f>MAX('Marks Input'!$H$4:$H$37)</f>
        <v>74</v>
      </c>
      <c r="G290" s="104">
        <f>MIN('Marks Input'!$H$4:$H$37)</f>
        <v>30</v>
      </c>
      <c r="H290" s="111">
        <f>'Marks Input'!$H$40</f>
        <v>43.26</v>
      </c>
      <c r="I290" s="77">
        <f>'FM-2'!W11</f>
        <v>19</v>
      </c>
    </row>
    <row r="291" spans="1:9" ht="15" customHeight="1" thickBot="1" x14ac:dyDescent="0.35">
      <c r="A291" s="119" t="str">
        <f>'Marks Input'!$I$2</f>
        <v>Islamiyat</v>
      </c>
      <c r="B291" s="109">
        <f>'Marks Input'!$I$3</f>
        <v>100</v>
      </c>
      <c r="C291" s="102">
        <f>'FM-2'!M11</f>
        <v>20</v>
      </c>
      <c r="D291" s="110">
        <f t="shared" ref="D291:D296" si="24">C291/B291</f>
        <v>0.2</v>
      </c>
      <c r="E291" s="79" t="str">
        <f t="shared" si="23"/>
        <v>F</v>
      </c>
      <c r="F291" s="103">
        <f>MAX('Marks Input'!$I$4:$I$37)</f>
        <v>88</v>
      </c>
      <c r="G291" s="104">
        <f>MIN('Marks Input'!$I$4:$I$37)</f>
        <v>34</v>
      </c>
      <c r="H291" s="111">
        <f>'Marks Input'!$I$40</f>
        <v>48.29</v>
      </c>
      <c r="I291" s="77">
        <f>'FM-2'!X11</f>
        <v>29</v>
      </c>
    </row>
    <row r="292" spans="1:9" ht="15" customHeight="1" thickBot="1" x14ac:dyDescent="0.35">
      <c r="A292" s="119" t="str">
        <f>'Marks Input'!$J$2</f>
        <v>Pak Studies</v>
      </c>
      <c r="B292" s="109">
        <f>'Marks Input'!$J$3</f>
        <v>100</v>
      </c>
      <c r="C292" s="102">
        <f>'FM-2'!N11</f>
        <v>42</v>
      </c>
      <c r="D292" s="110">
        <f t="shared" si="24"/>
        <v>0.42</v>
      </c>
      <c r="E292" s="79" t="str">
        <f t="shared" si="23"/>
        <v>E</v>
      </c>
      <c r="F292" s="103">
        <f>MAX('Marks Input'!$J$4:$J$37)</f>
        <v>96</v>
      </c>
      <c r="G292" s="104">
        <f>MIN('Marks Input'!$J$4:$J$37)</f>
        <v>34</v>
      </c>
      <c r="H292" s="111">
        <f>'Marks Input'!$J$40</f>
        <v>71.03</v>
      </c>
      <c r="I292" s="77">
        <f>'FM-2'!Y11</f>
        <v>30</v>
      </c>
    </row>
    <row r="293" spans="1:9" ht="15" customHeight="1" thickBot="1" x14ac:dyDescent="0.35">
      <c r="A293" s="119" t="str">
        <f>'Marks Input'!$K$2</f>
        <v>Maths</v>
      </c>
      <c r="B293" s="109">
        <f>'Marks Input'!$K$3</f>
        <v>100</v>
      </c>
      <c r="C293" s="102">
        <f>'FM-2'!O11</f>
        <v>44</v>
      </c>
      <c r="D293" s="110">
        <f t="shared" si="24"/>
        <v>0.44</v>
      </c>
      <c r="E293" s="79" t="str">
        <f t="shared" si="23"/>
        <v>E</v>
      </c>
      <c r="F293" s="103">
        <f>MAX('Marks Input'!$K$4:$K$37)</f>
        <v>94</v>
      </c>
      <c r="G293" s="104">
        <f>MIN('Marks Input'!$K$4:$K$37)</f>
        <v>57</v>
      </c>
      <c r="H293" s="111">
        <f>'Marks Input'!$K$40</f>
        <v>75.819999999999993</v>
      </c>
      <c r="I293" s="77">
        <f>'FM-2'!Z11</f>
        <v>18</v>
      </c>
    </row>
    <row r="294" spans="1:9" ht="15" customHeight="1" thickBot="1" x14ac:dyDescent="0.35">
      <c r="A294" s="119" t="str">
        <f>'Marks Input'!$L$2</f>
        <v>Sci./ Che.</v>
      </c>
      <c r="B294" s="109">
        <f>'Marks Input'!$L$3</f>
        <v>100</v>
      </c>
      <c r="C294" s="102">
        <f>'FM-2'!P11</f>
        <v>40</v>
      </c>
      <c r="D294" s="110">
        <f t="shared" si="24"/>
        <v>0.4</v>
      </c>
      <c r="E294" s="79" t="str">
        <f t="shared" si="23"/>
        <v>E</v>
      </c>
      <c r="F294" s="103">
        <f>MAX('Marks Input'!$L$4:$L$37)</f>
        <v>98</v>
      </c>
      <c r="G294" s="104">
        <f>MIN('Marks Input'!$L$4:$L$37)</f>
        <v>40</v>
      </c>
      <c r="H294" s="111">
        <f>'Marks Input'!$L$40</f>
        <v>61.09</v>
      </c>
      <c r="I294" s="77">
        <f>'FM-2'!AA11</f>
        <v>30</v>
      </c>
    </row>
    <row r="295" spans="1:9" ht="15" customHeight="1" thickBot="1" x14ac:dyDescent="0.35">
      <c r="A295" s="119" t="str">
        <f>'Marks Input'!$M$2</f>
        <v>Nazra</v>
      </c>
      <c r="B295" s="109">
        <f>'Marks Input'!$M$3</f>
        <v>100</v>
      </c>
      <c r="C295" s="102">
        <f>'FM-2'!Q11</f>
        <v>43</v>
      </c>
      <c r="D295" s="110">
        <f t="shared" si="24"/>
        <v>0.43</v>
      </c>
      <c r="E295" s="79" t="str">
        <f t="shared" si="23"/>
        <v>E</v>
      </c>
      <c r="F295" s="103">
        <f>MAX('Marks Input'!$M$4:$M$37)</f>
        <v>94</v>
      </c>
      <c r="G295" s="104">
        <f>MIN('Marks Input'!$M$4:$M$37)</f>
        <v>32</v>
      </c>
      <c r="H295" s="111">
        <f>'Marks Input'!$M$40</f>
        <v>57.79</v>
      </c>
      <c r="I295" s="77">
        <f>'FM-2'!AB11</f>
        <v>28</v>
      </c>
    </row>
    <row r="296" spans="1:9" ht="15" customHeight="1" thickBot="1" x14ac:dyDescent="0.35">
      <c r="A296" s="119" t="str">
        <f>'Marks Input'!$N$2</f>
        <v>Physics</v>
      </c>
      <c r="B296" s="109">
        <f>'Marks Input'!$N$3</f>
        <v>100</v>
      </c>
      <c r="C296" s="102">
        <f>'FM-2'!R11</f>
        <v>73</v>
      </c>
      <c r="D296" s="110">
        <f t="shared" si="24"/>
        <v>0.73</v>
      </c>
      <c r="E296" s="79" t="str">
        <f t="shared" si="23"/>
        <v>B</v>
      </c>
      <c r="F296" s="103">
        <f>MAX('Marks Input'!$N$4:$N$37)</f>
        <v>60</v>
      </c>
      <c r="G296" s="104">
        <f>MIN('Marks Input'!$N$4:$N$37)</f>
        <v>18</v>
      </c>
      <c r="H296" s="111">
        <f>'Marks Input'!$N$40</f>
        <v>42.94</v>
      </c>
      <c r="I296" s="77">
        <f>'FM-2'!AC11</f>
        <v>23</v>
      </c>
    </row>
    <row r="297" spans="1:9" ht="15" customHeight="1" thickBot="1" x14ac:dyDescent="0.35">
      <c r="A297" s="120" t="str">
        <f>'Marks Input'!$O$2</f>
        <v>Bio./Comp.</v>
      </c>
      <c r="B297" s="112">
        <f>'Marks Input'!$O$3</f>
        <v>100</v>
      </c>
      <c r="C297" s="113">
        <f>'FM-2'!S11</f>
        <v>43</v>
      </c>
      <c r="D297" s="114">
        <f>C297/B297</f>
        <v>0.43</v>
      </c>
      <c r="E297" s="80" t="str">
        <f t="shared" si="23"/>
        <v>E</v>
      </c>
      <c r="F297" s="115">
        <f>MAX('Marks Input'!$O$4:$O$37)</f>
        <v>40</v>
      </c>
      <c r="G297" s="116">
        <f>MIN('Marks Input'!$O$4:$O$37)</f>
        <v>14</v>
      </c>
      <c r="H297" s="117">
        <f>'Marks Input'!$O$40</f>
        <v>30.44</v>
      </c>
      <c r="I297" s="78">
        <f>'FM-2'!AD11</f>
        <v>28</v>
      </c>
    </row>
    <row r="298" spans="1:9" ht="21" customHeight="1" thickBot="1" x14ac:dyDescent="0.45">
      <c r="A298" s="69" t="s">
        <v>14</v>
      </c>
      <c r="B298" s="70">
        <f>'Marks Input'!$P$3</f>
        <v>900</v>
      </c>
      <c r="C298" s="71">
        <f>'FM-2'!U11</f>
        <v>375</v>
      </c>
      <c r="D298" s="72">
        <f t="shared" ref="D298" si="25">C298/B298</f>
        <v>0.41666666666666669</v>
      </c>
      <c r="E298" s="73" t="str">
        <f t="shared" si="23"/>
        <v>E</v>
      </c>
      <c r="F298" s="70">
        <f>MAX('Marks Input'!$P$4:$P$37)</f>
        <v>673</v>
      </c>
      <c r="G298" s="71">
        <f>MIN('Marks Input'!$P$4:$P$37)</f>
        <v>322</v>
      </c>
      <c r="H298" s="74">
        <f>'Marks Input'!$P$40</f>
        <v>493.26</v>
      </c>
      <c r="I298" s="75">
        <f>'FM-2'!AF11</f>
        <v>29</v>
      </c>
    </row>
    <row r="299" spans="1:9" ht="21" customHeight="1" thickBot="1" x14ac:dyDescent="0.35">
      <c r="A299" s="196" t="s">
        <v>15</v>
      </c>
      <c r="B299" s="197"/>
      <c r="C299" s="197"/>
      <c r="H299" s="82"/>
      <c r="I299" s="83"/>
    </row>
    <row r="300" spans="1:9" ht="35.1" customHeight="1" x14ac:dyDescent="0.3">
      <c r="A300" s="198" t="str">
        <f>IF(D298&gt;0.399,"Promoted Successfully","Not Promoted")</f>
        <v>Promoted Successfully</v>
      </c>
      <c r="B300" s="199"/>
      <c r="C300" s="199"/>
      <c r="D300" s="199"/>
      <c r="E300" s="199"/>
      <c r="F300" s="199"/>
      <c r="G300" s="199"/>
      <c r="H300" s="199"/>
      <c r="I300" s="200"/>
    </row>
    <row r="301" spans="1:9" ht="35.1" customHeight="1" thickBot="1" x14ac:dyDescent="0.35">
      <c r="A301" s="201"/>
      <c r="B301" s="202"/>
      <c r="C301" s="202"/>
      <c r="D301" s="202"/>
      <c r="E301" s="202"/>
      <c r="F301" s="202"/>
      <c r="G301" s="202"/>
      <c r="H301" s="202"/>
      <c r="I301" s="203"/>
    </row>
    <row r="302" spans="1:9" ht="30" customHeight="1" x14ac:dyDescent="0.3">
      <c r="A302" s="84"/>
      <c r="B302" s="85"/>
      <c r="C302" s="85"/>
      <c r="D302" s="133" t="s">
        <v>140</v>
      </c>
      <c r="E302" s="133"/>
      <c r="F302" s="133"/>
      <c r="G302" s="204"/>
      <c r="H302" s="204"/>
      <c r="I302" s="205"/>
    </row>
    <row r="303" spans="1:9" ht="30" customHeight="1" x14ac:dyDescent="0.3">
      <c r="A303" s="84"/>
      <c r="D303" s="121" t="s">
        <v>16</v>
      </c>
      <c r="E303" s="86"/>
      <c r="F303" s="86"/>
      <c r="G303" s="206"/>
      <c r="H303" s="206"/>
      <c r="I303" s="207"/>
    </row>
    <row r="304" spans="1:9" ht="15" customHeight="1" x14ac:dyDescent="0.3">
      <c r="A304" s="84"/>
      <c r="F304" s="208" t="str">
        <f>A281</f>
        <v>APS Hazro</v>
      </c>
      <c r="G304" s="208"/>
      <c r="H304" s="208"/>
      <c r="I304" s="209"/>
    </row>
    <row r="305" spans="1:9" ht="15" customHeight="1" thickBot="1" x14ac:dyDescent="0.35">
      <c r="A305" s="210"/>
      <c r="B305" s="211"/>
      <c r="C305" s="211"/>
      <c r="D305" s="211"/>
      <c r="E305" s="211"/>
      <c r="F305" s="211"/>
      <c r="G305" s="211"/>
      <c r="H305" s="211"/>
      <c r="I305" s="212"/>
    </row>
    <row r="306" spans="1:9" ht="15" customHeight="1" x14ac:dyDescent="0.3">
      <c r="A306" s="213"/>
      <c r="B306" s="214"/>
      <c r="C306" s="214"/>
      <c r="D306" s="214"/>
      <c r="E306" s="214"/>
      <c r="F306" s="214"/>
      <c r="G306" s="214"/>
      <c r="H306" s="214"/>
      <c r="I306" s="215"/>
    </row>
    <row r="307" spans="1:9" ht="21" customHeight="1" x14ac:dyDescent="0.35">
      <c r="A307" s="87" t="s">
        <v>17</v>
      </c>
      <c r="B307" s="105">
        <f>H285</f>
        <v>9</v>
      </c>
      <c r="C307" s="88"/>
      <c r="D307" s="89" t="s">
        <v>3</v>
      </c>
      <c r="E307" s="89" t="str">
        <f>E285</f>
        <v>7TH</v>
      </c>
      <c r="F307" s="90" t="s">
        <v>18</v>
      </c>
      <c r="G307" s="216" t="str">
        <f>E298</f>
        <v>E</v>
      </c>
      <c r="H307" s="216"/>
      <c r="I307" s="217"/>
    </row>
    <row r="308" spans="1:9" ht="30" customHeight="1" x14ac:dyDescent="0.3">
      <c r="A308" s="176" t="s">
        <v>210</v>
      </c>
      <c r="B308" s="177"/>
      <c r="C308" s="218"/>
      <c r="D308" s="218"/>
      <c r="E308" s="187" t="s">
        <v>19</v>
      </c>
      <c r="F308" s="187"/>
      <c r="G308" s="219"/>
      <c r="H308" s="219"/>
      <c r="I308" s="220"/>
    </row>
    <row r="309" spans="1:9" ht="30" customHeight="1" x14ac:dyDescent="0.3">
      <c r="A309" s="176" t="s">
        <v>20</v>
      </c>
      <c r="B309" s="177"/>
      <c r="C309" s="178"/>
      <c r="D309" s="178"/>
      <c r="E309" s="178"/>
      <c r="F309" s="178"/>
      <c r="G309" s="178"/>
      <c r="H309" s="178"/>
      <c r="I309" s="179"/>
    </row>
    <row r="310" spans="1:9" ht="30" customHeight="1" x14ac:dyDescent="0.3">
      <c r="A310" s="180"/>
      <c r="B310" s="181"/>
      <c r="C310" s="181"/>
      <c r="D310" s="181"/>
      <c r="E310" s="181"/>
      <c r="F310" s="181"/>
      <c r="G310" s="181"/>
      <c r="H310" s="181"/>
      <c r="I310" s="182"/>
    </row>
    <row r="311" spans="1:9" ht="21" customHeight="1" x14ac:dyDescent="0.3">
      <c r="A311" s="183"/>
      <c r="B311" s="184"/>
      <c r="C311" s="184"/>
      <c r="D311" s="184"/>
      <c r="E311" s="184"/>
      <c r="F311" s="184"/>
      <c r="G311" s="184"/>
      <c r="H311" s="184"/>
      <c r="I311" s="185"/>
    </row>
    <row r="312" spans="1:9" ht="21" customHeight="1" x14ac:dyDescent="0.3">
      <c r="A312" s="91" t="s">
        <v>207</v>
      </c>
      <c r="B312" s="186">
        <f ca="1">TODAY()</f>
        <v>46315</v>
      </c>
      <c r="C312" s="186"/>
      <c r="D312" s="187" t="s">
        <v>141</v>
      </c>
      <c r="E312" s="187"/>
      <c r="F312" s="187"/>
      <c r="G312" s="188"/>
      <c r="H312" s="188"/>
      <c r="I312" s="189"/>
    </row>
    <row r="313" spans="1:9" ht="21" customHeight="1" x14ac:dyDescent="0.3">
      <c r="A313" s="190" t="s">
        <v>211</v>
      </c>
      <c r="B313" s="191"/>
      <c r="C313" s="191"/>
      <c r="D313" s="191"/>
      <c r="E313" s="191"/>
      <c r="F313" s="191"/>
      <c r="G313" s="191"/>
      <c r="H313" s="191"/>
      <c r="I313" s="192"/>
    </row>
    <row r="314" spans="1:9" ht="15" customHeight="1" x14ac:dyDescent="0.3">
      <c r="A314" s="190"/>
      <c r="B314" s="191"/>
      <c r="C314" s="191"/>
      <c r="D314" s="191"/>
      <c r="E314" s="191"/>
      <c r="F314" s="191"/>
      <c r="G314" s="191"/>
      <c r="H314" s="191"/>
      <c r="I314" s="192"/>
    </row>
    <row r="315" spans="1:9" ht="15" thickBot="1" x14ac:dyDescent="0.35">
      <c r="A315" s="193"/>
      <c r="B315" s="194"/>
      <c r="C315" s="194"/>
      <c r="D315" s="194"/>
      <c r="E315" s="194"/>
      <c r="F315" s="194"/>
      <c r="G315" s="194"/>
      <c r="H315" s="194"/>
      <c r="I315" s="195"/>
    </row>
    <row r="316" spans="1:9" ht="41.1" customHeight="1" thickBot="1" x14ac:dyDescent="0.35">
      <c r="A316" s="240" t="str">
        <f>'FM-2'!$I$3</f>
        <v>APS Hazro</v>
      </c>
      <c r="B316" s="241"/>
      <c r="C316" s="241"/>
      <c r="D316" s="241"/>
      <c r="E316" s="241"/>
      <c r="F316" s="241"/>
      <c r="G316" s="241"/>
      <c r="H316" s="241"/>
      <c r="I316" s="242"/>
    </row>
    <row r="317" spans="1:9" ht="21" customHeight="1" thickBot="1" x14ac:dyDescent="0.4">
      <c r="A317" s="129" t="str">
        <f>'FM-2'!$J$3</f>
        <v>ANNUAL EXAM 2024</v>
      </c>
      <c r="B317" s="67"/>
      <c r="C317" s="67"/>
      <c r="D317" s="67"/>
      <c r="E317" s="67"/>
      <c r="F317" s="67"/>
      <c r="G317" s="67"/>
      <c r="H317" s="67"/>
      <c r="I317" s="68"/>
    </row>
    <row r="318" spans="1:9" ht="21" customHeight="1" x14ac:dyDescent="0.35">
      <c r="A318" s="122"/>
      <c r="B318" s="123"/>
      <c r="C318" s="123"/>
      <c r="D318" s="123"/>
      <c r="E318" s="123"/>
      <c r="F318" s="123"/>
      <c r="G318" s="123"/>
      <c r="H318" s="123"/>
      <c r="I318" s="124"/>
    </row>
    <row r="319" spans="1:9" ht="21" customHeight="1" x14ac:dyDescent="0.3">
      <c r="A319" s="221" t="s">
        <v>0</v>
      </c>
      <c r="B319" s="222"/>
      <c r="C319" s="98" t="str">
        <f>'FM-2'!E12</f>
        <v>Ali10</v>
      </c>
      <c r="D319" s="98"/>
      <c r="E319" s="98"/>
      <c r="F319" s="222" t="s">
        <v>1</v>
      </c>
      <c r="G319" s="222"/>
      <c r="H319" s="223" t="str">
        <f>'FM-2'!F12</f>
        <v>Khan 10</v>
      </c>
      <c r="I319" s="224"/>
    </row>
    <row r="320" spans="1:9" ht="21" customHeight="1" x14ac:dyDescent="0.3">
      <c r="A320" s="221" t="s">
        <v>2</v>
      </c>
      <c r="B320" s="222"/>
      <c r="C320" s="92">
        <f>'FM-2'!C12</f>
        <v>1009</v>
      </c>
      <c r="D320" s="93" t="s">
        <v>3</v>
      </c>
      <c r="E320" s="92" t="str">
        <f>'FM-2'!$B$3</f>
        <v>7TH</v>
      </c>
      <c r="F320" s="222" t="s">
        <v>4</v>
      </c>
      <c r="G320" s="222"/>
      <c r="H320" s="225">
        <f>'FM-2'!D12</f>
        <v>10</v>
      </c>
      <c r="I320" s="226"/>
    </row>
    <row r="321" spans="1:9" ht="21" customHeight="1" thickBot="1" x14ac:dyDescent="0.35">
      <c r="A321" s="227" t="s">
        <v>206</v>
      </c>
      <c r="B321" s="228"/>
      <c r="C321" s="94">
        <f>COUNTIF('Marks Input'!$B$4:$B$63,"&gt;0")</f>
        <v>34</v>
      </c>
      <c r="D321" s="93"/>
      <c r="E321" s="95"/>
      <c r="F321" s="93"/>
      <c r="G321" s="93"/>
      <c r="H321" s="96"/>
      <c r="I321" s="97"/>
    </row>
    <row r="322" spans="1:9" ht="15.75" customHeight="1" thickBot="1" x14ac:dyDescent="0.35">
      <c r="A322" s="229" t="s">
        <v>5</v>
      </c>
      <c r="B322" s="231" t="s">
        <v>6</v>
      </c>
      <c r="C322" s="233" t="s">
        <v>7</v>
      </c>
      <c r="D322" s="235" t="s">
        <v>209</v>
      </c>
      <c r="E322" s="229" t="s">
        <v>8</v>
      </c>
      <c r="F322" s="237" t="s">
        <v>9</v>
      </c>
      <c r="G322" s="238"/>
      <c r="H322" s="238"/>
      <c r="I322" s="239"/>
    </row>
    <row r="323" spans="1:9" ht="30" customHeight="1" thickBot="1" x14ac:dyDescent="0.35">
      <c r="A323" s="230"/>
      <c r="B323" s="232"/>
      <c r="C323" s="234"/>
      <c r="D323" s="236"/>
      <c r="E323" s="230"/>
      <c r="F323" s="125" t="s">
        <v>10</v>
      </c>
      <c r="G323" s="126" t="s">
        <v>11</v>
      </c>
      <c r="H323" s="127" t="s">
        <v>12</v>
      </c>
      <c r="I323" s="128" t="s">
        <v>208</v>
      </c>
    </row>
    <row r="324" spans="1:9" ht="15" customHeight="1" thickBot="1" x14ac:dyDescent="0.35">
      <c r="A324" s="118" t="str">
        <f>'Marks Input'!$G$2</f>
        <v>Urdu</v>
      </c>
      <c r="B324" s="106">
        <f>'Marks Input'!$G$3</f>
        <v>100</v>
      </c>
      <c r="C324" s="99">
        <f>'FM-2'!K12</f>
        <v>49</v>
      </c>
      <c r="D324" s="107">
        <f>C324/B324</f>
        <v>0.49</v>
      </c>
      <c r="E324" s="79" t="str">
        <f>IF(D324&gt;0.899,"A+",IF(D324&gt;0.799,"A",IF(D324&gt;0.699,"B",IF(D324&gt;0.599,"C",IF(D324&gt;0.499,"D",IF(D324&gt;0.399,"E","F"))))))</f>
        <v>E</v>
      </c>
      <c r="F324" s="100">
        <f>MAX('Marks Input'!$G$4:$G$37)</f>
        <v>72</v>
      </c>
      <c r="G324" s="101">
        <f>MIN('Marks Input'!$G$4:$G$37)</f>
        <v>40</v>
      </c>
      <c r="H324" s="108">
        <f>'Marks Input'!$G$40</f>
        <v>62.59</v>
      </c>
      <c r="I324" s="76">
        <f>'FM-2'!V12</f>
        <v>31</v>
      </c>
    </row>
    <row r="325" spans="1:9" ht="15" customHeight="1" thickBot="1" x14ac:dyDescent="0.35">
      <c r="A325" s="119" t="str">
        <f>'Marks Input'!$H$2</f>
        <v>English</v>
      </c>
      <c r="B325" s="109">
        <f>'Marks Input'!$H$3</f>
        <v>100</v>
      </c>
      <c r="C325" s="102">
        <f>'FM-2'!L12</f>
        <v>33</v>
      </c>
      <c r="D325" s="110">
        <f>C325/B325</f>
        <v>0.33</v>
      </c>
      <c r="E325" s="79" t="str">
        <f t="shared" ref="E325:E333" si="26">IF(D325&gt;0.899,"A+",IF(D325&gt;0.799,"A",IF(D325&gt;0.699,"B",IF(D325&gt;0.599,"C",IF(D325&gt;0.499,"D",IF(D325&gt;0.399,"E","F"))))))</f>
        <v>F</v>
      </c>
      <c r="F325" s="103">
        <f>MAX('Marks Input'!$H$4:$H$37)</f>
        <v>74</v>
      </c>
      <c r="G325" s="104">
        <f>MIN('Marks Input'!$H$4:$H$37)</f>
        <v>30</v>
      </c>
      <c r="H325" s="111">
        <f>'Marks Input'!$H$40</f>
        <v>43.26</v>
      </c>
      <c r="I325" s="77">
        <f>'FM-2'!W12</f>
        <v>19</v>
      </c>
    </row>
    <row r="326" spans="1:9" ht="15" customHeight="1" thickBot="1" x14ac:dyDescent="0.35">
      <c r="A326" s="119" t="str">
        <f>'Marks Input'!$I$2</f>
        <v>Islamiyat</v>
      </c>
      <c r="B326" s="109">
        <f>'Marks Input'!$I$3</f>
        <v>100</v>
      </c>
      <c r="C326" s="102">
        <f>'FM-2'!M12</f>
        <v>19</v>
      </c>
      <c r="D326" s="110">
        <f t="shared" ref="D326:D331" si="27">C326/B326</f>
        <v>0.19</v>
      </c>
      <c r="E326" s="79" t="str">
        <f t="shared" si="26"/>
        <v>F</v>
      </c>
      <c r="F326" s="103">
        <f>MAX('Marks Input'!$I$4:$I$37)</f>
        <v>88</v>
      </c>
      <c r="G326" s="104">
        <f>MIN('Marks Input'!$I$4:$I$37)</f>
        <v>34</v>
      </c>
      <c r="H326" s="111">
        <f>'Marks Input'!$I$40</f>
        <v>48.29</v>
      </c>
      <c r="I326" s="77">
        <f>'FM-2'!X12</f>
        <v>32</v>
      </c>
    </row>
    <row r="327" spans="1:9" ht="15" customHeight="1" thickBot="1" x14ac:dyDescent="0.35">
      <c r="A327" s="119" t="str">
        <f>'Marks Input'!$J$2</f>
        <v>Pak Studies</v>
      </c>
      <c r="B327" s="109">
        <f>'Marks Input'!$J$3</f>
        <v>100</v>
      </c>
      <c r="C327" s="102">
        <f>'FM-2'!N12</f>
        <v>40</v>
      </c>
      <c r="D327" s="110">
        <f t="shared" si="27"/>
        <v>0.4</v>
      </c>
      <c r="E327" s="79" t="str">
        <f t="shared" si="26"/>
        <v>E</v>
      </c>
      <c r="F327" s="103">
        <f>MAX('Marks Input'!$J$4:$J$37)</f>
        <v>96</v>
      </c>
      <c r="G327" s="104">
        <f>MIN('Marks Input'!$J$4:$J$37)</f>
        <v>34</v>
      </c>
      <c r="H327" s="111">
        <f>'Marks Input'!$J$40</f>
        <v>71.03</v>
      </c>
      <c r="I327" s="77">
        <f>'FM-2'!Y12</f>
        <v>31</v>
      </c>
    </row>
    <row r="328" spans="1:9" ht="15" customHeight="1" thickBot="1" x14ac:dyDescent="0.35">
      <c r="A328" s="119" t="str">
        <f>'Marks Input'!$K$2</f>
        <v>Maths</v>
      </c>
      <c r="B328" s="109">
        <f>'Marks Input'!$K$3</f>
        <v>100</v>
      </c>
      <c r="C328" s="102">
        <f>'FM-2'!O12</f>
        <v>40</v>
      </c>
      <c r="D328" s="110">
        <f t="shared" si="27"/>
        <v>0.4</v>
      </c>
      <c r="E328" s="79" t="str">
        <f t="shared" si="26"/>
        <v>E</v>
      </c>
      <c r="F328" s="103">
        <f>MAX('Marks Input'!$K$4:$K$37)</f>
        <v>94</v>
      </c>
      <c r="G328" s="104">
        <f>MIN('Marks Input'!$K$4:$K$37)</f>
        <v>57</v>
      </c>
      <c r="H328" s="111">
        <f>'Marks Input'!$K$40</f>
        <v>75.819999999999993</v>
      </c>
      <c r="I328" s="77">
        <f>'FM-2'!Z12</f>
        <v>19</v>
      </c>
    </row>
    <row r="329" spans="1:9" ht="15" customHeight="1" thickBot="1" x14ac:dyDescent="0.35">
      <c r="A329" s="119" t="str">
        <f>'Marks Input'!$L$2</f>
        <v>Sci./ Che.</v>
      </c>
      <c r="B329" s="109">
        <f>'Marks Input'!$L$3</f>
        <v>100</v>
      </c>
      <c r="C329" s="102">
        <f>'FM-2'!P12</f>
        <v>35</v>
      </c>
      <c r="D329" s="110">
        <f t="shared" si="27"/>
        <v>0.35</v>
      </c>
      <c r="E329" s="79" t="str">
        <f t="shared" si="26"/>
        <v>F</v>
      </c>
      <c r="F329" s="103">
        <f>MAX('Marks Input'!$L$4:$L$37)</f>
        <v>98</v>
      </c>
      <c r="G329" s="104">
        <f>MIN('Marks Input'!$L$4:$L$37)</f>
        <v>40</v>
      </c>
      <c r="H329" s="111">
        <f>'Marks Input'!$L$40</f>
        <v>61.09</v>
      </c>
      <c r="I329" s="77">
        <f>'FM-2'!AA12</f>
        <v>32</v>
      </c>
    </row>
    <row r="330" spans="1:9" ht="15" customHeight="1" thickBot="1" x14ac:dyDescent="0.35">
      <c r="A330" s="119" t="str">
        <f>'Marks Input'!$M$2</f>
        <v>Nazra</v>
      </c>
      <c r="B330" s="109">
        <f>'Marks Input'!$M$3</f>
        <v>100</v>
      </c>
      <c r="C330" s="102">
        <f>'FM-2'!Q12</f>
        <v>37</v>
      </c>
      <c r="D330" s="110">
        <f t="shared" si="27"/>
        <v>0.37</v>
      </c>
      <c r="E330" s="79" t="str">
        <f t="shared" si="26"/>
        <v>F</v>
      </c>
      <c r="F330" s="103">
        <f>MAX('Marks Input'!$M$4:$M$37)</f>
        <v>94</v>
      </c>
      <c r="G330" s="104">
        <f>MIN('Marks Input'!$M$4:$M$37)</f>
        <v>32</v>
      </c>
      <c r="H330" s="111">
        <f>'Marks Input'!$M$40</f>
        <v>57.79</v>
      </c>
      <c r="I330" s="77">
        <f>'FM-2'!AB12</f>
        <v>32</v>
      </c>
    </row>
    <row r="331" spans="1:9" ht="15" customHeight="1" thickBot="1" x14ac:dyDescent="0.35">
      <c r="A331" s="119" t="str">
        <f>'Marks Input'!$N$2</f>
        <v>Physics</v>
      </c>
      <c r="B331" s="109">
        <f>'Marks Input'!$N$3</f>
        <v>100</v>
      </c>
      <c r="C331" s="102">
        <f>'FM-2'!R12</f>
        <v>60</v>
      </c>
      <c r="D331" s="110">
        <f t="shared" si="27"/>
        <v>0.6</v>
      </c>
      <c r="E331" s="79" t="str">
        <f t="shared" si="26"/>
        <v>C</v>
      </c>
      <c r="F331" s="103">
        <f>MAX('Marks Input'!$N$4:$N$37)</f>
        <v>60</v>
      </c>
      <c r="G331" s="104">
        <f>MIN('Marks Input'!$N$4:$N$37)</f>
        <v>18</v>
      </c>
      <c r="H331" s="111">
        <f>'Marks Input'!$N$40</f>
        <v>42.94</v>
      </c>
      <c r="I331" s="77">
        <f>'FM-2'!AC12</f>
        <v>33</v>
      </c>
    </row>
    <row r="332" spans="1:9" ht="15" customHeight="1" thickBot="1" x14ac:dyDescent="0.35">
      <c r="A332" s="120" t="str">
        <f>'Marks Input'!$O$2</f>
        <v>Bio./Comp.</v>
      </c>
      <c r="B332" s="112">
        <f>'Marks Input'!$O$3</f>
        <v>100</v>
      </c>
      <c r="C332" s="113">
        <f>'FM-2'!S12</f>
        <v>37</v>
      </c>
      <c r="D332" s="114">
        <f>C332/B332</f>
        <v>0.37</v>
      </c>
      <c r="E332" s="80" t="str">
        <f t="shared" si="26"/>
        <v>F</v>
      </c>
      <c r="F332" s="115">
        <f>MAX('Marks Input'!$O$4:$O$37)</f>
        <v>40</v>
      </c>
      <c r="G332" s="116">
        <f>MIN('Marks Input'!$O$4:$O$37)</f>
        <v>14</v>
      </c>
      <c r="H332" s="117">
        <f>'Marks Input'!$O$40</f>
        <v>30.44</v>
      </c>
      <c r="I332" s="78">
        <f>'FM-2'!AD12</f>
        <v>32</v>
      </c>
    </row>
    <row r="333" spans="1:9" ht="21" customHeight="1" thickBot="1" x14ac:dyDescent="0.45">
      <c r="A333" s="69" t="s">
        <v>14</v>
      </c>
      <c r="B333" s="70">
        <f>'Marks Input'!$P$3</f>
        <v>900</v>
      </c>
      <c r="C333" s="71">
        <f>'FM-2'!U12</f>
        <v>328</v>
      </c>
      <c r="D333" s="72">
        <f t="shared" ref="D333" si="28">C333/B333</f>
        <v>0.36444444444444446</v>
      </c>
      <c r="E333" s="73" t="str">
        <f t="shared" si="26"/>
        <v>F</v>
      </c>
      <c r="F333" s="70">
        <f>MAX('Marks Input'!$P$4:$P$37)</f>
        <v>673</v>
      </c>
      <c r="G333" s="71">
        <f>MIN('Marks Input'!$P$4:$P$37)</f>
        <v>322</v>
      </c>
      <c r="H333" s="74">
        <f>'Marks Input'!$P$40</f>
        <v>493.26</v>
      </c>
      <c r="I333" s="75">
        <f>'FM-2'!AF12</f>
        <v>33</v>
      </c>
    </row>
    <row r="334" spans="1:9" ht="21" customHeight="1" thickBot="1" x14ac:dyDescent="0.35">
      <c r="A334" s="196" t="s">
        <v>15</v>
      </c>
      <c r="B334" s="197"/>
      <c r="C334" s="197"/>
      <c r="H334" s="82"/>
      <c r="I334" s="83"/>
    </row>
    <row r="335" spans="1:9" ht="35.1" customHeight="1" x14ac:dyDescent="0.3">
      <c r="A335" s="198" t="str">
        <f>IF(D333&gt;0.399,"Promoted Successfully","Not Promoted")</f>
        <v>Not Promoted</v>
      </c>
      <c r="B335" s="199"/>
      <c r="C335" s="199"/>
      <c r="D335" s="199"/>
      <c r="E335" s="199"/>
      <c r="F335" s="199"/>
      <c r="G335" s="199"/>
      <c r="H335" s="199"/>
      <c r="I335" s="200"/>
    </row>
    <row r="336" spans="1:9" ht="35.1" customHeight="1" thickBot="1" x14ac:dyDescent="0.35">
      <c r="A336" s="201"/>
      <c r="B336" s="202"/>
      <c r="C336" s="202"/>
      <c r="D336" s="202"/>
      <c r="E336" s="202"/>
      <c r="F336" s="202"/>
      <c r="G336" s="202"/>
      <c r="H336" s="202"/>
      <c r="I336" s="203"/>
    </row>
    <row r="337" spans="1:9" ht="30" customHeight="1" x14ac:dyDescent="0.3">
      <c r="A337" s="84"/>
      <c r="B337" s="85"/>
      <c r="D337" s="133" t="s">
        <v>140</v>
      </c>
      <c r="E337" s="133"/>
      <c r="F337" s="133"/>
      <c r="G337" s="204"/>
      <c r="H337" s="204"/>
      <c r="I337" s="205"/>
    </row>
    <row r="338" spans="1:9" ht="30" customHeight="1" x14ac:dyDescent="0.3">
      <c r="A338" s="84"/>
      <c r="D338" s="134" t="s">
        <v>16</v>
      </c>
      <c r="G338" s="206"/>
      <c r="H338" s="206"/>
      <c r="I338" s="207"/>
    </row>
    <row r="339" spans="1:9" ht="15" customHeight="1" x14ac:dyDescent="0.3">
      <c r="A339" s="84"/>
      <c r="F339" s="208" t="str">
        <f>A316</f>
        <v>APS Hazro</v>
      </c>
      <c r="G339" s="208"/>
      <c r="H339" s="208"/>
      <c r="I339" s="209"/>
    </row>
    <row r="340" spans="1:9" ht="15" customHeight="1" thickBot="1" x14ac:dyDescent="0.35">
      <c r="A340" s="210"/>
      <c r="B340" s="211"/>
      <c r="C340" s="211"/>
      <c r="D340" s="211"/>
      <c r="E340" s="211"/>
      <c r="F340" s="211"/>
      <c r="G340" s="211"/>
      <c r="H340" s="211"/>
      <c r="I340" s="212"/>
    </row>
    <row r="341" spans="1:9" ht="15" customHeight="1" x14ac:dyDescent="0.3">
      <c r="A341" s="213"/>
      <c r="B341" s="214"/>
      <c r="C341" s="214"/>
      <c r="D341" s="214"/>
      <c r="E341" s="214"/>
      <c r="F341" s="214"/>
      <c r="G341" s="214"/>
      <c r="H341" s="214"/>
      <c r="I341" s="215"/>
    </row>
    <row r="342" spans="1:9" ht="21" customHeight="1" x14ac:dyDescent="0.35">
      <c r="A342" s="87" t="s">
        <v>17</v>
      </c>
      <c r="B342" s="105">
        <f>H320</f>
        <v>10</v>
      </c>
      <c r="C342" s="88"/>
      <c r="D342" s="89" t="s">
        <v>3</v>
      </c>
      <c r="E342" s="89" t="str">
        <f>E320</f>
        <v>7TH</v>
      </c>
      <c r="F342" s="90" t="s">
        <v>18</v>
      </c>
      <c r="G342" s="216" t="str">
        <f>E333</f>
        <v>F</v>
      </c>
      <c r="H342" s="216"/>
      <c r="I342" s="217"/>
    </row>
    <row r="343" spans="1:9" ht="30" customHeight="1" x14ac:dyDescent="0.3">
      <c r="A343" s="176" t="s">
        <v>210</v>
      </c>
      <c r="B343" s="177"/>
      <c r="C343" s="218"/>
      <c r="D343" s="218"/>
      <c r="E343" s="187" t="s">
        <v>19</v>
      </c>
      <c r="F343" s="187"/>
      <c r="G343" s="219"/>
      <c r="H343" s="219"/>
      <c r="I343" s="220"/>
    </row>
    <row r="344" spans="1:9" ht="30" customHeight="1" x14ac:dyDescent="0.3">
      <c r="A344" s="176" t="s">
        <v>20</v>
      </c>
      <c r="B344" s="177"/>
      <c r="C344" s="178"/>
      <c r="D344" s="178"/>
      <c r="E344" s="178"/>
      <c r="F344" s="178"/>
      <c r="G344" s="178"/>
      <c r="H344" s="178"/>
      <c r="I344" s="179"/>
    </row>
    <row r="345" spans="1:9" ht="30" customHeight="1" x14ac:dyDescent="0.3">
      <c r="A345" s="180"/>
      <c r="B345" s="181"/>
      <c r="C345" s="181"/>
      <c r="D345" s="181"/>
      <c r="E345" s="181"/>
      <c r="F345" s="181"/>
      <c r="G345" s="181"/>
      <c r="H345" s="181"/>
      <c r="I345" s="182"/>
    </row>
    <row r="346" spans="1:9" ht="21" customHeight="1" x14ac:dyDescent="0.3">
      <c r="A346" s="183"/>
      <c r="B346" s="184"/>
      <c r="C346" s="184"/>
      <c r="D346" s="184"/>
      <c r="E346" s="184"/>
      <c r="F346" s="184"/>
      <c r="G346" s="184"/>
      <c r="H346" s="184"/>
      <c r="I346" s="185"/>
    </row>
    <row r="347" spans="1:9" ht="21" customHeight="1" x14ac:dyDescent="0.3">
      <c r="A347" s="91" t="s">
        <v>207</v>
      </c>
      <c r="B347" s="186">
        <f ca="1">TODAY()</f>
        <v>46315</v>
      </c>
      <c r="C347" s="186"/>
      <c r="D347" s="187" t="s">
        <v>141</v>
      </c>
      <c r="E347" s="187"/>
      <c r="F347" s="187"/>
      <c r="G347" s="188"/>
      <c r="H347" s="188"/>
      <c r="I347" s="189"/>
    </row>
    <row r="348" spans="1:9" ht="21" customHeight="1" x14ac:dyDescent="0.3">
      <c r="A348" s="190" t="s">
        <v>211</v>
      </c>
      <c r="B348" s="191"/>
      <c r="C348" s="191"/>
      <c r="D348" s="191"/>
      <c r="E348" s="191"/>
      <c r="F348" s="191"/>
      <c r="G348" s="191"/>
      <c r="H348" s="191"/>
      <c r="I348" s="192"/>
    </row>
    <row r="349" spans="1:9" ht="15" customHeight="1" x14ac:dyDescent="0.3">
      <c r="A349" s="190"/>
      <c r="B349" s="191"/>
      <c r="C349" s="191"/>
      <c r="D349" s="191"/>
      <c r="E349" s="191"/>
      <c r="F349" s="191"/>
      <c r="G349" s="191"/>
      <c r="H349" s="191"/>
      <c r="I349" s="192"/>
    </row>
    <row r="350" spans="1:9" ht="15" thickBot="1" x14ac:dyDescent="0.35">
      <c r="A350" s="193"/>
      <c r="B350" s="194"/>
      <c r="C350" s="194"/>
      <c r="D350" s="194"/>
      <c r="E350" s="194"/>
      <c r="F350" s="194"/>
      <c r="G350" s="194"/>
      <c r="H350" s="194"/>
      <c r="I350" s="195"/>
    </row>
    <row r="351" spans="1:9" ht="41.1" customHeight="1" thickBot="1" x14ac:dyDescent="0.35">
      <c r="A351" s="240" t="str">
        <f>'FM-2'!$I$3</f>
        <v>APS Hazro</v>
      </c>
      <c r="B351" s="241"/>
      <c r="C351" s="241"/>
      <c r="D351" s="241"/>
      <c r="E351" s="241"/>
      <c r="F351" s="241"/>
      <c r="G351" s="241"/>
      <c r="H351" s="241"/>
      <c r="I351" s="242"/>
    </row>
    <row r="352" spans="1:9" ht="21" customHeight="1" thickBot="1" x14ac:dyDescent="0.4">
      <c r="A352" s="129" t="str">
        <f>'FM-2'!$J$3</f>
        <v>ANNUAL EXAM 2024</v>
      </c>
      <c r="B352" s="67"/>
      <c r="C352" s="67"/>
      <c r="D352" s="67"/>
      <c r="E352" s="67"/>
      <c r="F352" s="67"/>
      <c r="G352" s="67"/>
      <c r="H352" s="67"/>
      <c r="I352" s="68"/>
    </row>
    <row r="353" spans="1:9" ht="21" customHeight="1" x14ac:dyDescent="0.35">
      <c r="A353" s="122"/>
      <c r="B353" s="123"/>
      <c r="C353" s="123"/>
      <c r="D353" s="123"/>
      <c r="E353" s="123"/>
      <c r="F353" s="123"/>
      <c r="G353" s="123"/>
      <c r="H353" s="123"/>
      <c r="I353" s="124"/>
    </row>
    <row r="354" spans="1:9" ht="21" customHeight="1" x14ac:dyDescent="0.3">
      <c r="A354" s="221" t="s">
        <v>0</v>
      </c>
      <c r="B354" s="222"/>
      <c r="C354" s="98" t="str">
        <f>'FM-2'!E13</f>
        <v>Ali11</v>
      </c>
      <c r="D354" s="98"/>
      <c r="E354" s="98"/>
      <c r="F354" s="222" t="s">
        <v>1</v>
      </c>
      <c r="G354" s="222"/>
      <c r="H354" s="223" t="str">
        <f>'FM-2'!F13</f>
        <v>Khan 11</v>
      </c>
      <c r="I354" s="224"/>
    </row>
    <row r="355" spans="1:9" ht="21" customHeight="1" x14ac:dyDescent="0.3">
      <c r="A355" s="221" t="s">
        <v>2</v>
      </c>
      <c r="B355" s="222"/>
      <c r="C355" s="92">
        <f>'FM-2'!C13</f>
        <v>1010</v>
      </c>
      <c r="D355" s="93" t="s">
        <v>3</v>
      </c>
      <c r="E355" s="92" t="str">
        <f>'FM-2'!$B$3</f>
        <v>7TH</v>
      </c>
      <c r="F355" s="222" t="s">
        <v>4</v>
      </c>
      <c r="G355" s="222"/>
      <c r="H355" s="225">
        <f>'FM-2'!D13</f>
        <v>11</v>
      </c>
      <c r="I355" s="226"/>
    </row>
    <row r="356" spans="1:9" ht="21" customHeight="1" thickBot="1" x14ac:dyDescent="0.35">
      <c r="A356" s="227" t="s">
        <v>206</v>
      </c>
      <c r="B356" s="228"/>
      <c r="C356" s="94">
        <f>COUNTIF('Marks Input'!$B$4:$B$63,"&gt;0")</f>
        <v>34</v>
      </c>
      <c r="D356" s="93"/>
      <c r="E356" s="95"/>
      <c r="F356" s="93"/>
      <c r="G356" s="93"/>
      <c r="H356" s="96"/>
      <c r="I356" s="97"/>
    </row>
    <row r="357" spans="1:9" ht="15.75" customHeight="1" thickBot="1" x14ac:dyDescent="0.35">
      <c r="A357" s="229" t="s">
        <v>5</v>
      </c>
      <c r="B357" s="231" t="s">
        <v>6</v>
      </c>
      <c r="C357" s="233" t="s">
        <v>7</v>
      </c>
      <c r="D357" s="235" t="s">
        <v>209</v>
      </c>
      <c r="E357" s="229" t="s">
        <v>8</v>
      </c>
      <c r="F357" s="237" t="s">
        <v>9</v>
      </c>
      <c r="G357" s="238"/>
      <c r="H357" s="238"/>
      <c r="I357" s="239"/>
    </row>
    <row r="358" spans="1:9" ht="30" customHeight="1" thickBot="1" x14ac:dyDescent="0.35">
      <c r="A358" s="230"/>
      <c r="B358" s="232"/>
      <c r="C358" s="234"/>
      <c r="D358" s="236"/>
      <c r="E358" s="230"/>
      <c r="F358" s="125" t="s">
        <v>10</v>
      </c>
      <c r="G358" s="126" t="s">
        <v>11</v>
      </c>
      <c r="H358" s="127" t="s">
        <v>12</v>
      </c>
      <c r="I358" s="128" t="s">
        <v>208</v>
      </c>
    </row>
    <row r="359" spans="1:9" ht="15" customHeight="1" thickBot="1" x14ac:dyDescent="0.35">
      <c r="A359" s="118" t="str">
        <f>'Marks Input'!$G$2</f>
        <v>Urdu</v>
      </c>
      <c r="B359" s="106">
        <f>'Marks Input'!$G$3</f>
        <v>100</v>
      </c>
      <c r="C359" s="99">
        <f>'FM-2'!K13</f>
        <v>40</v>
      </c>
      <c r="D359" s="107">
        <f>C359/B359</f>
        <v>0.4</v>
      </c>
      <c r="E359" s="79" t="str">
        <f>IF(D359&gt;0.899,"A+",IF(D359&gt;0.799,"A",IF(D359&gt;0.699,"B",IF(D359&gt;0.599,"C",IF(D359&gt;0.499,"D",IF(D359&gt;0.399,"E","F"))))))</f>
        <v>E</v>
      </c>
      <c r="F359" s="100">
        <f>MAX('Marks Input'!$G$4:$G$37)</f>
        <v>72</v>
      </c>
      <c r="G359" s="101">
        <f>MIN('Marks Input'!$G$4:$G$37)</f>
        <v>40</v>
      </c>
      <c r="H359" s="108">
        <f>'Marks Input'!$G$40</f>
        <v>62.59</v>
      </c>
      <c r="I359" s="76">
        <f>'FM-2'!V13</f>
        <v>34</v>
      </c>
    </row>
    <row r="360" spans="1:9" ht="15" customHeight="1" thickBot="1" x14ac:dyDescent="0.35">
      <c r="A360" s="119" t="str">
        <f>'Marks Input'!$H$2</f>
        <v>English</v>
      </c>
      <c r="B360" s="109">
        <f>'Marks Input'!$H$3</f>
        <v>100</v>
      </c>
      <c r="C360" s="102">
        <f>'FM-2'!L13</f>
        <v>33</v>
      </c>
      <c r="D360" s="110">
        <f>C360/B360</f>
        <v>0.33</v>
      </c>
      <c r="E360" s="79" t="str">
        <f t="shared" ref="E360:E368" si="29">IF(D360&gt;0.899,"A+",IF(D360&gt;0.799,"A",IF(D360&gt;0.699,"B",IF(D360&gt;0.599,"C",IF(D360&gt;0.499,"D",IF(D360&gt;0.399,"E","F"))))))</f>
        <v>F</v>
      </c>
      <c r="F360" s="103">
        <f>MAX('Marks Input'!$H$4:$H$37)</f>
        <v>74</v>
      </c>
      <c r="G360" s="104">
        <f>MIN('Marks Input'!$H$4:$H$37)</f>
        <v>30</v>
      </c>
      <c r="H360" s="111">
        <f>'Marks Input'!$H$40</f>
        <v>43.26</v>
      </c>
      <c r="I360" s="77">
        <f>'FM-2'!W13</f>
        <v>19</v>
      </c>
    </row>
    <row r="361" spans="1:9" ht="15" customHeight="1" thickBot="1" x14ac:dyDescent="0.35">
      <c r="A361" s="119" t="str">
        <f>'Marks Input'!$I$2</f>
        <v>Islamiyat</v>
      </c>
      <c r="B361" s="109">
        <f>'Marks Input'!$I$3</f>
        <v>100</v>
      </c>
      <c r="C361" s="102">
        <f>'FM-2'!M13</f>
        <v>20</v>
      </c>
      <c r="D361" s="110">
        <f t="shared" ref="D361:D366" si="30">C361/B361</f>
        <v>0.2</v>
      </c>
      <c r="E361" s="79" t="str">
        <f t="shared" si="29"/>
        <v>F</v>
      </c>
      <c r="F361" s="103">
        <f>MAX('Marks Input'!$I$4:$I$37)</f>
        <v>88</v>
      </c>
      <c r="G361" s="104">
        <f>MIN('Marks Input'!$I$4:$I$37)</f>
        <v>34</v>
      </c>
      <c r="H361" s="111">
        <f>'Marks Input'!$I$40</f>
        <v>48.29</v>
      </c>
      <c r="I361" s="77">
        <f>'FM-2'!X13</f>
        <v>29</v>
      </c>
    </row>
    <row r="362" spans="1:9" ht="15" customHeight="1" thickBot="1" x14ac:dyDescent="0.35">
      <c r="A362" s="119" t="str">
        <f>'Marks Input'!$J$2</f>
        <v>Pak Studies</v>
      </c>
      <c r="B362" s="109">
        <f>'Marks Input'!$J$3</f>
        <v>100</v>
      </c>
      <c r="C362" s="102">
        <f>'FM-2'!N13</f>
        <v>56</v>
      </c>
      <c r="D362" s="110">
        <f t="shared" si="30"/>
        <v>0.56000000000000005</v>
      </c>
      <c r="E362" s="79" t="str">
        <f t="shared" si="29"/>
        <v>D</v>
      </c>
      <c r="F362" s="103">
        <f>MAX('Marks Input'!$J$4:$J$37)</f>
        <v>96</v>
      </c>
      <c r="G362" s="104">
        <f>MIN('Marks Input'!$J$4:$J$37)</f>
        <v>34</v>
      </c>
      <c r="H362" s="111">
        <f>'Marks Input'!$J$40</f>
        <v>71.03</v>
      </c>
      <c r="I362" s="77">
        <f>'FM-2'!Y13</f>
        <v>17</v>
      </c>
    </row>
    <row r="363" spans="1:9" ht="15" customHeight="1" thickBot="1" x14ac:dyDescent="0.35">
      <c r="A363" s="119" t="str">
        <f>'Marks Input'!$K$2</f>
        <v>Maths</v>
      </c>
      <c r="B363" s="109">
        <f>'Marks Input'!$K$3</f>
        <v>100</v>
      </c>
      <c r="C363" s="102">
        <f>'FM-2'!O13</f>
        <v>40</v>
      </c>
      <c r="D363" s="110">
        <f t="shared" si="30"/>
        <v>0.4</v>
      </c>
      <c r="E363" s="79" t="str">
        <f t="shared" si="29"/>
        <v>E</v>
      </c>
      <c r="F363" s="103">
        <f>MAX('Marks Input'!$K$4:$K$37)</f>
        <v>94</v>
      </c>
      <c r="G363" s="104">
        <f>MIN('Marks Input'!$K$4:$K$37)</f>
        <v>57</v>
      </c>
      <c r="H363" s="111">
        <f>'Marks Input'!$K$40</f>
        <v>75.819999999999993</v>
      </c>
      <c r="I363" s="77">
        <f>'FM-2'!Z13</f>
        <v>19</v>
      </c>
    </row>
    <row r="364" spans="1:9" ht="15" customHeight="1" thickBot="1" x14ac:dyDescent="0.35">
      <c r="A364" s="119" t="str">
        <f>'Marks Input'!$L$2</f>
        <v>Sci./ Che.</v>
      </c>
      <c r="B364" s="109">
        <f>'Marks Input'!$L$3</f>
        <v>100</v>
      </c>
      <c r="C364" s="102">
        <f>'FM-2'!P13</f>
        <v>50</v>
      </c>
      <c r="D364" s="110">
        <f t="shared" si="30"/>
        <v>0.5</v>
      </c>
      <c r="E364" s="79" t="str">
        <f t="shared" si="29"/>
        <v>D</v>
      </c>
      <c r="F364" s="103">
        <f>MAX('Marks Input'!$L$4:$L$37)</f>
        <v>98</v>
      </c>
      <c r="G364" s="104">
        <f>MIN('Marks Input'!$L$4:$L$37)</f>
        <v>40</v>
      </c>
      <c r="H364" s="111">
        <f>'Marks Input'!$L$40</f>
        <v>61.09</v>
      </c>
      <c r="I364" s="77">
        <f>'FM-2'!AA13</f>
        <v>27</v>
      </c>
    </row>
    <row r="365" spans="1:9" ht="15" customHeight="1" thickBot="1" x14ac:dyDescent="0.35">
      <c r="A365" s="119" t="str">
        <f>'Marks Input'!$M$2</f>
        <v>Nazra</v>
      </c>
      <c r="B365" s="109">
        <f>'Marks Input'!$M$3</f>
        <v>100</v>
      </c>
      <c r="C365" s="102">
        <f>'FM-2'!Q13</f>
        <v>49</v>
      </c>
      <c r="D365" s="110">
        <f t="shared" si="30"/>
        <v>0.49</v>
      </c>
      <c r="E365" s="79" t="str">
        <f t="shared" si="29"/>
        <v>E</v>
      </c>
      <c r="F365" s="103">
        <f>MAX('Marks Input'!$M$4:$M$37)</f>
        <v>94</v>
      </c>
      <c r="G365" s="104">
        <f>MIN('Marks Input'!$M$4:$M$37)</f>
        <v>32</v>
      </c>
      <c r="H365" s="111">
        <f>'Marks Input'!$M$40</f>
        <v>57.79</v>
      </c>
      <c r="I365" s="77">
        <f>'FM-2'!AB13</f>
        <v>22</v>
      </c>
    </row>
    <row r="366" spans="1:9" ht="15" customHeight="1" thickBot="1" x14ac:dyDescent="0.35">
      <c r="A366" s="119" t="str">
        <f>'Marks Input'!$N$2</f>
        <v>Physics</v>
      </c>
      <c r="B366" s="109">
        <f>'Marks Input'!$N$3</f>
        <v>100</v>
      </c>
      <c r="C366" s="102">
        <f>'FM-2'!R13</f>
        <v>62</v>
      </c>
      <c r="D366" s="110">
        <f t="shared" si="30"/>
        <v>0.62</v>
      </c>
      <c r="E366" s="79" t="str">
        <f t="shared" si="29"/>
        <v>C</v>
      </c>
      <c r="F366" s="103">
        <f>MAX('Marks Input'!$N$4:$N$37)</f>
        <v>60</v>
      </c>
      <c r="G366" s="104">
        <f>MIN('Marks Input'!$N$4:$N$37)</f>
        <v>18</v>
      </c>
      <c r="H366" s="111">
        <f>'Marks Input'!$N$40</f>
        <v>42.94</v>
      </c>
      <c r="I366" s="77">
        <f>'FM-2'!AC13</f>
        <v>30</v>
      </c>
    </row>
    <row r="367" spans="1:9" ht="15" customHeight="1" thickBot="1" x14ac:dyDescent="0.35">
      <c r="A367" s="120" t="str">
        <f>'Marks Input'!$O$2</f>
        <v>Bio./Comp.</v>
      </c>
      <c r="B367" s="112">
        <f>'Marks Input'!$O$3</f>
        <v>100</v>
      </c>
      <c r="C367" s="113">
        <f>'FM-2'!S13</f>
        <v>49</v>
      </c>
      <c r="D367" s="114">
        <f>C367/B367</f>
        <v>0.49</v>
      </c>
      <c r="E367" s="80" t="str">
        <f t="shared" si="29"/>
        <v>E</v>
      </c>
      <c r="F367" s="115">
        <f>MAX('Marks Input'!$O$4:$O$37)</f>
        <v>40</v>
      </c>
      <c r="G367" s="116">
        <f>MIN('Marks Input'!$O$4:$O$37)</f>
        <v>14</v>
      </c>
      <c r="H367" s="117">
        <f>'Marks Input'!$O$40</f>
        <v>30.44</v>
      </c>
      <c r="I367" s="78">
        <f>'FM-2'!AD13</f>
        <v>22</v>
      </c>
    </row>
    <row r="368" spans="1:9" ht="21" customHeight="1" thickBot="1" x14ac:dyDescent="0.45">
      <c r="A368" s="69" t="s">
        <v>14</v>
      </c>
      <c r="B368" s="70">
        <f>'Marks Input'!$P$3</f>
        <v>900</v>
      </c>
      <c r="C368" s="71">
        <f>'FM-2'!U13</f>
        <v>365</v>
      </c>
      <c r="D368" s="72">
        <f t="shared" ref="D368" si="31">C368/B368</f>
        <v>0.40555555555555556</v>
      </c>
      <c r="E368" s="73" t="str">
        <f t="shared" si="29"/>
        <v>E</v>
      </c>
      <c r="F368" s="70">
        <f>MAX('Marks Input'!$P$4:$P$37)</f>
        <v>673</v>
      </c>
      <c r="G368" s="71">
        <f>MIN('Marks Input'!$P$4:$P$37)</f>
        <v>322</v>
      </c>
      <c r="H368" s="74">
        <f>'Marks Input'!$P$40</f>
        <v>493.26</v>
      </c>
      <c r="I368" s="75">
        <f>'FM-2'!AF13</f>
        <v>31</v>
      </c>
    </row>
    <row r="369" spans="1:9" ht="21" customHeight="1" thickBot="1" x14ac:dyDescent="0.35">
      <c r="A369" s="196" t="s">
        <v>15</v>
      </c>
      <c r="B369" s="197"/>
      <c r="C369" s="197"/>
      <c r="H369" s="82"/>
      <c r="I369" s="83"/>
    </row>
    <row r="370" spans="1:9" ht="35.1" customHeight="1" x14ac:dyDescent="0.3">
      <c r="A370" s="198" t="str">
        <f>IF(D368&gt;0.399,"Promoted Successfully","Not Promoted")</f>
        <v>Promoted Successfully</v>
      </c>
      <c r="B370" s="199"/>
      <c r="C370" s="199"/>
      <c r="D370" s="199"/>
      <c r="E370" s="199"/>
      <c r="F370" s="199"/>
      <c r="G370" s="199"/>
      <c r="H370" s="199"/>
      <c r="I370" s="200"/>
    </row>
    <row r="371" spans="1:9" ht="35.1" customHeight="1" thickBot="1" x14ac:dyDescent="0.35">
      <c r="A371" s="201"/>
      <c r="B371" s="202"/>
      <c r="C371" s="202"/>
      <c r="D371" s="202"/>
      <c r="E371" s="202"/>
      <c r="F371" s="202"/>
      <c r="G371" s="202"/>
      <c r="H371" s="202"/>
      <c r="I371" s="203"/>
    </row>
    <row r="372" spans="1:9" ht="30" customHeight="1" x14ac:dyDescent="0.3">
      <c r="A372" s="85"/>
      <c r="D372" s="133" t="s">
        <v>140</v>
      </c>
      <c r="E372" s="133"/>
      <c r="F372" s="133"/>
      <c r="G372" s="204"/>
      <c r="H372" s="204"/>
      <c r="I372" s="205"/>
    </row>
    <row r="373" spans="1:9" ht="30" customHeight="1" x14ac:dyDescent="0.3">
      <c r="A373" s="84"/>
      <c r="D373" s="134" t="s">
        <v>16</v>
      </c>
      <c r="E373" s="134"/>
      <c r="F373" s="134"/>
      <c r="G373" s="206"/>
      <c r="H373" s="206"/>
      <c r="I373" s="207"/>
    </row>
    <row r="374" spans="1:9" ht="15" customHeight="1" x14ac:dyDescent="0.3">
      <c r="A374" s="84"/>
      <c r="F374" s="208" t="str">
        <f>A351</f>
        <v>APS Hazro</v>
      </c>
      <c r="G374" s="208"/>
      <c r="H374" s="208"/>
      <c r="I374" s="209"/>
    </row>
    <row r="375" spans="1:9" ht="15" customHeight="1" thickBot="1" x14ac:dyDescent="0.35">
      <c r="A375" s="210"/>
      <c r="B375" s="211"/>
      <c r="C375" s="211"/>
      <c r="D375" s="211"/>
      <c r="E375" s="211"/>
      <c r="F375" s="211"/>
      <c r="G375" s="211"/>
      <c r="H375" s="211"/>
      <c r="I375" s="212"/>
    </row>
    <row r="376" spans="1:9" ht="15" customHeight="1" x14ac:dyDescent="0.3">
      <c r="A376" s="213"/>
      <c r="B376" s="214"/>
      <c r="C376" s="214"/>
      <c r="D376" s="214"/>
      <c r="E376" s="214"/>
      <c r="F376" s="214"/>
      <c r="G376" s="214"/>
      <c r="H376" s="214"/>
      <c r="I376" s="215"/>
    </row>
    <row r="377" spans="1:9" ht="21" customHeight="1" x14ac:dyDescent="0.35">
      <c r="A377" s="87" t="s">
        <v>17</v>
      </c>
      <c r="B377" s="105">
        <f>H355</f>
        <v>11</v>
      </c>
      <c r="C377" s="88"/>
      <c r="D377" s="89" t="s">
        <v>3</v>
      </c>
      <c r="E377" s="89" t="str">
        <f>E355</f>
        <v>7TH</v>
      </c>
      <c r="F377" s="90" t="s">
        <v>18</v>
      </c>
      <c r="G377" s="216" t="str">
        <f>E368</f>
        <v>E</v>
      </c>
      <c r="H377" s="216"/>
      <c r="I377" s="217"/>
    </row>
    <row r="378" spans="1:9" ht="30" customHeight="1" x14ac:dyDescent="0.3">
      <c r="A378" s="176" t="s">
        <v>210</v>
      </c>
      <c r="B378" s="177"/>
      <c r="C378" s="218"/>
      <c r="D378" s="218"/>
      <c r="E378" s="187" t="s">
        <v>19</v>
      </c>
      <c r="F378" s="187"/>
      <c r="G378" s="219"/>
      <c r="H378" s="219"/>
      <c r="I378" s="220"/>
    </row>
    <row r="379" spans="1:9" ht="30" customHeight="1" x14ac:dyDescent="0.3">
      <c r="A379" s="176" t="s">
        <v>20</v>
      </c>
      <c r="B379" s="177"/>
      <c r="C379" s="178"/>
      <c r="D379" s="178"/>
      <c r="E379" s="178"/>
      <c r="F379" s="178"/>
      <c r="G379" s="178"/>
      <c r="H379" s="178"/>
      <c r="I379" s="179"/>
    </row>
    <row r="380" spans="1:9" ht="30" customHeight="1" x14ac:dyDescent="0.3">
      <c r="A380" s="180"/>
      <c r="B380" s="181"/>
      <c r="C380" s="181"/>
      <c r="D380" s="181"/>
      <c r="E380" s="181"/>
      <c r="F380" s="181"/>
      <c r="G380" s="181"/>
      <c r="H380" s="181"/>
      <c r="I380" s="182"/>
    </row>
    <row r="381" spans="1:9" ht="21" customHeight="1" x14ac:dyDescent="0.3">
      <c r="A381" s="183"/>
      <c r="B381" s="184"/>
      <c r="C381" s="184"/>
      <c r="D381" s="184"/>
      <c r="E381" s="184"/>
      <c r="F381" s="184"/>
      <c r="G381" s="184"/>
      <c r="H381" s="184"/>
      <c r="I381" s="185"/>
    </row>
    <row r="382" spans="1:9" ht="21" customHeight="1" x14ac:dyDescent="0.3">
      <c r="A382" s="91" t="s">
        <v>207</v>
      </c>
      <c r="B382" s="186">
        <f ca="1">TODAY()</f>
        <v>46315</v>
      </c>
      <c r="C382" s="186"/>
      <c r="D382" s="187" t="s">
        <v>141</v>
      </c>
      <c r="E382" s="187"/>
      <c r="F382" s="187"/>
      <c r="G382" s="188"/>
      <c r="H382" s="188"/>
      <c r="I382" s="189"/>
    </row>
    <row r="383" spans="1:9" ht="21" customHeight="1" x14ac:dyDescent="0.3">
      <c r="A383" s="190" t="s">
        <v>211</v>
      </c>
      <c r="B383" s="191"/>
      <c r="C383" s="191"/>
      <c r="D383" s="191"/>
      <c r="E383" s="191"/>
      <c r="F383" s="191"/>
      <c r="G383" s="191"/>
      <c r="H383" s="191"/>
      <c r="I383" s="192"/>
    </row>
    <row r="384" spans="1:9" ht="15" customHeight="1" x14ac:dyDescent="0.3">
      <c r="A384" s="190"/>
      <c r="B384" s="191"/>
      <c r="C384" s="191"/>
      <c r="D384" s="191"/>
      <c r="E384" s="191"/>
      <c r="F384" s="191"/>
      <c r="G384" s="191"/>
      <c r="H384" s="191"/>
      <c r="I384" s="192"/>
    </row>
    <row r="385" spans="1:9" ht="15" thickBot="1" x14ac:dyDescent="0.35">
      <c r="A385" s="193"/>
      <c r="B385" s="194"/>
      <c r="C385" s="194"/>
      <c r="D385" s="194"/>
      <c r="E385" s="194"/>
      <c r="F385" s="194"/>
      <c r="G385" s="194"/>
      <c r="H385" s="194"/>
      <c r="I385" s="195"/>
    </row>
    <row r="386" spans="1:9" ht="41.1" customHeight="1" thickBot="1" x14ac:dyDescent="0.35">
      <c r="A386" s="240" t="str">
        <f>'FM-2'!$I$3</f>
        <v>APS Hazro</v>
      </c>
      <c r="B386" s="241"/>
      <c r="C386" s="241"/>
      <c r="D386" s="241"/>
      <c r="E386" s="241"/>
      <c r="F386" s="241"/>
      <c r="G386" s="241"/>
      <c r="H386" s="241"/>
      <c r="I386" s="242"/>
    </row>
    <row r="387" spans="1:9" ht="21" customHeight="1" thickBot="1" x14ac:dyDescent="0.4">
      <c r="A387" s="129" t="str">
        <f>'FM-2'!$J$3</f>
        <v>ANNUAL EXAM 2024</v>
      </c>
      <c r="B387" s="67"/>
      <c r="C387" s="67"/>
      <c r="D387" s="67"/>
      <c r="E387" s="67"/>
      <c r="F387" s="67"/>
      <c r="G387" s="67"/>
      <c r="H387" s="67"/>
      <c r="I387" s="68"/>
    </row>
    <row r="388" spans="1:9" ht="21" customHeight="1" x14ac:dyDescent="0.35">
      <c r="A388" s="122"/>
      <c r="B388" s="123"/>
      <c r="C388" s="123"/>
      <c r="D388" s="123"/>
      <c r="E388" s="123"/>
      <c r="F388" s="123"/>
      <c r="G388" s="123"/>
      <c r="H388" s="123"/>
      <c r="I388" s="124"/>
    </row>
    <row r="389" spans="1:9" ht="21" customHeight="1" x14ac:dyDescent="0.3">
      <c r="A389" s="221" t="s">
        <v>0</v>
      </c>
      <c r="B389" s="222"/>
      <c r="C389" s="98" t="str">
        <f>'FM-2'!E14</f>
        <v>Ali12</v>
      </c>
      <c r="D389" s="98"/>
      <c r="E389" s="98"/>
      <c r="F389" s="222" t="s">
        <v>1</v>
      </c>
      <c r="G389" s="222"/>
      <c r="H389" s="223" t="str">
        <f>'FM-2'!F14</f>
        <v>Khan 12</v>
      </c>
      <c r="I389" s="224"/>
    </row>
    <row r="390" spans="1:9" ht="21" customHeight="1" x14ac:dyDescent="0.3">
      <c r="A390" s="221" t="s">
        <v>2</v>
      </c>
      <c r="B390" s="222"/>
      <c r="C390" s="92">
        <f>'FM-2'!C14</f>
        <v>1011</v>
      </c>
      <c r="D390" s="93" t="s">
        <v>3</v>
      </c>
      <c r="E390" s="92" t="str">
        <f>'FM-2'!$B$3</f>
        <v>7TH</v>
      </c>
      <c r="F390" s="222" t="s">
        <v>4</v>
      </c>
      <c r="G390" s="222"/>
      <c r="H390" s="225">
        <f>'FM-2'!D14</f>
        <v>12</v>
      </c>
      <c r="I390" s="226"/>
    </row>
    <row r="391" spans="1:9" ht="21" customHeight="1" thickBot="1" x14ac:dyDescent="0.35">
      <c r="A391" s="227" t="s">
        <v>206</v>
      </c>
      <c r="B391" s="228"/>
      <c r="C391" s="94">
        <f>COUNTIF('Marks Input'!$B$4:$B$63,"&gt;0")</f>
        <v>34</v>
      </c>
      <c r="D391" s="93"/>
      <c r="E391" s="95"/>
      <c r="F391" s="93"/>
      <c r="G391" s="93"/>
      <c r="H391" s="96"/>
      <c r="I391" s="97"/>
    </row>
    <row r="392" spans="1:9" ht="15.75" customHeight="1" thickBot="1" x14ac:dyDescent="0.35">
      <c r="A392" s="229" t="s">
        <v>5</v>
      </c>
      <c r="B392" s="231" t="s">
        <v>6</v>
      </c>
      <c r="C392" s="233" t="s">
        <v>7</v>
      </c>
      <c r="D392" s="235" t="s">
        <v>209</v>
      </c>
      <c r="E392" s="229" t="s">
        <v>8</v>
      </c>
      <c r="F392" s="237" t="s">
        <v>9</v>
      </c>
      <c r="G392" s="238"/>
      <c r="H392" s="238"/>
      <c r="I392" s="239"/>
    </row>
    <row r="393" spans="1:9" ht="30" customHeight="1" thickBot="1" x14ac:dyDescent="0.35">
      <c r="A393" s="230"/>
      <c r="B393" s="232"/>
      <c r="C393" s="234"/>
      <c r="D393" s="236"/>
      <c r="E393" s="230"/>
      <c r="F393" s="125" t="s">
        <v>10</v>
      </c>
      <c r="G393" s="126" t="s">
        <v>11</v>
      </c>
      <c r="H393" s="127" t="s">
        <v>12</v>
      </c>
      <c r="I393" s="128" t="s">
        <v>208</v>
      </c>
    </row>
    <row r="394" spans="1:9" ht="15" customHeight="1" thickBot="1" x14ac:dyDescent="0.35">
      <c r="A394" s="118" t="str">
        <f>'Marks Input'!$G$2</f>
        <v>Urdu</v>
      </c>
      <c r="B394" s="106">
        <f>'Marks Input'!$G$3</f>
        <v>100</v>
      </c>
      <c r="C394" s="99">
        <f>'FM-2'!K14</f>
        <v>54</v>
      </c>
      <c r="D394" s="107">
        <f>C394/B394</f>
        <v>0.54</v>
      </c>
      <c r="E394" s="79" t="str">
        <f>IF(D394&gt;0.899,"A+",IF(D394&gt;0.799,"A",IF(D394&gt;0.699,"B",IF(D394&gt;0.599,"C",IF(D394&gt;0.499,"D",IF(D394&gt;0.399,"E","F"))))))</f>
        <v>D</v>
      </c>
      <c r="F394" s="100">
        <f>MAX('Marks Input'!$G$4:$G$37)</f>
        <v>72</v>
      </c>
      <c r="G394" s="101">
        <f>MIN('Marks Input'!$G$4:$G$37)</f>
        <v>40</v>
      </c>
      <c r="H394" s="108">
        <f>'Marks Input'!$G$40</f>
        <v>62.59</v>
      </c>
      <c r="I394" s="76">
        <f>'FM-2'!V14</f>
        <v>28</v>
      </c>
    </row>
    <row r="395" spans="1:9" ht="15" customHeight="1" thickBot="1" x14ac:dyDescent="0.35">
      <c r="A395" s="119" t="str">
        <f>'Marks Input'!$H$2</f>
        <v>English</v>
      </c>
      <c r="B395" s="109">
        <f>'Marks Input'!$H$3</f>
        <v>100</v>
      </c>
      <c r="C395" s="102">
        <f>'FM-2'!L14</f>
        <v>33</v>
      </c>
      <c r="D395" s="110">
        <f>C395/B395</f>
        <v>0.33</v>
      </c>
      <c r="E395" s="79" t="str">
        <f t="shared" ref="E395:E403" si="32">IF(D395&gt;0.899,"A+",IF(D395&gt;0.799,"A",IF(D395&gt;0.699,"B",IF(D395&gt;0.599,"C",IF(D395&gt;0.499,"D",IF(D395&gt;0.399,"E","F"))))))</f>
        <v>F</v>
      </c>
      <c r="F395" s="103">
        <f>MAX('Marks Input'!$H$4:$H$37)</f>
        <v>74</v>
      </c>
      <c r="G395" s="104">
        <f>MIN('Marks Input'!$H$4:$H$37)</f>
        <v>30</v>
      </c>
      <c r="H395" s="111">
        <f>'Marks Input'!$H$40</f>
        <v>43.26</v>
      </c>
      <c r="I395" s="77">
        <f>'FM-2'!W14</f>
        <v>19</v>
      </c>
    </row>
    <row r="396" spans="1:9" ht="15" customHeight="1" thickBot="1" x14ac:dyDescent="0.35">
      <c r="A396" s="119" t="str">
        <f>'Marks Input'!$I$2</f>
        <v>Islamiyat</v>
      </c>
      <c r="B396" s="109">
        <f>'Marks Input'!$I$3</f>
        <v>100</v>
      </c>
      <c r="C396" s="102">
        <f>'FM-2'!M14</f>
        <v>18</v>
      </c>
      <c r="D396" s="110">
        <f t="shared" ref="D396:D401" si="33">C396/B396</f>
        <v>0.18</v>
      </c>
      <c r="E396" s="79" t="str">
        <f t="shared" si="32"/>
        <v>F</v>
      </c>
      <c r="F396" s="103">
        <f>MAX('Marks Input'!$I$4:$I$37)</f>
        <v>88</v>
      </c>
      <c r="G396" s="104">
        <f>MIN('Marks Input'!$I$4:$I$37)</f>
        <v>34</v>
      </c>
      <c r="H396" s="111">
        <f>'Marks Input'!$I$40</f>
        <v>48.29</v>
      </c>
      <c r="I396" s="77">
        <f>'FM-2'!X14</f>
        <v>34</v>
      </c>
    </row>
    <row r="397" spans="1:9" ht="15" customHeight="1" thickBot="1" x14ac:dyDescent="0.35">
      <c r="A397" s="119" t="str">
        <f>'Marks Input'!$J$2</f>
        <v>Pak Studies</v>
      </c>
      <c r="B397" s="109">
        <f>'Marks Input'!$J$3</f>
        <v>100</v>
      </c>
      <c r="C397" s="102">
        <f>'FM-2'!N14</f>
        <v>40</v>
      </c>
      <c r="D397" s="110">
        <f t="shared" si="33"/>
        <v>0.4</v>
      </c>
      <c r="E397" s="79" t="str">
        <f t="shared" si="32"/>
        <v>E</v>
      </c>
      <c r="F397" s="103">
        <f>MAX('Marks Input'!$J$4:$J$37)</f>
        <v>96</v>
      </c>
      <c r="G397" s="104">
        <f>MIN('Marks Input'!$J$4:$J$37)</f>
        <v>34</v>
      </c>
      <c r="H397" s="111">
        <f>'Marks Input'!$J$40</f>
        <v>71.03</v>
      </c>
      <c r="I397" s="77">
        <f>'FM-2'!Y14</f>
        <v>31</v>
      </c>
    </row>
    <row r="398" spans="1:9" ht="15" customHeight="1" thickBot="1" x14ac:dyDescent="0.35">
      <c r="A398" s="119" t="str">
        <f>'Marks Input'!$K$2</f>
        <v>Maths</v>
      </c>
      <c r="B398" s="109">
        <f>'Marks Input'!$K$3</f>
        <v>100</v>
      </c>
      <c r="C398" s="102">
        <f>'FM-2'!O14</f>
        <v>36</v>
      </c>
      <c r="D398" s="110">
        <f t="shared" si="33"/>
        <v>0.36</v>
      </c>
      <c r="E398" s="79" t="str">
        <f t="shared" si="32"/>
        <v>F</v>
      </c>
      <c r="F398" s="103">
        <f>MAX('Marks Input'!$K$4:$K$37)</f>
        <v>94</v>
      </c>
      <c r="G398" s="104">
        <f>MIN('Marks Input'!$K$4:$K$37)</f>
        <v>57</v>
      </c>
      <c r="H398" s="111">
        <f>'Marks Input'!$K$40</f>
        <v>75.819999999999993</v>
      </c>
      <c r="I398" s="77">
        <f>'FM-2'!Z14</f>
        <v>27</v>
      </c>
    </row>
    <row r="399" spans="1:9" ht="15" customHeight="1" thickBot="1" x14ac:dyDescent="0.35">
      <c r="A399" s="119" t="str">
        <f>'Marks Input'!$L$2</f>
        <v>Sci./ Che.</v>
      </c>
      <c r="B399" s="109">
        <f>'Marks Input'!$L$3</f>
        <v>100</v>
      </c>
      <c r="C399" s="102">
        <f>'FM-2'!P14</f>
        <v>35</v>
      </c>
      <c r="D399" s="110">
        <f t="shared" si="33"/>
        <v>0.35</v>
      </c>
      <c r="E399" s="79" t="str">
        <f t="shared" si="32"/>
        <v>F</v>
      </c>
      <c r="F399" s="103">
        <f>MAX('Marks Input'!$L$4:$L$37)</f>
        <v>98</v>
      </c>
      <c r="G399" s="104">
        <f>MIN('Marks Input'!$L$4:$L$37)</f>
        <v>40</v>
      </c>
      <c r="H399" s="111">
        <f>'Marks Input'!$L$40</f>
        <v>61.09</v>
      </c>
      <c r="I399" s="77">
        <f>'FM-2'!AA14</f>
        <v>32</v>
      </c>
    </row>
    <row r="400" spans="1:9" ht="15" customHeight="1" thickBot="1" x14ac:dyDescent="0.35">
      <c r="A400" s="119" t="str">
        <f>'Marks Input'!$M$2</f>
        <v>Nazra</v>
      </c>
      <c r="B400" s="109">
        <f>'Marks Input'!$M$3</f>
        <v>100</v>
      </c>
      <c r="C400" s="102">
        <f>'FM-2'!Q14</f>
        <v>35</v>
      </c>
      <c r="D400" s="110">
        <f t="shared" si="33"/>
        <v>0.35</v>
      </c>
      <c r="E400" s="79" t="str">
        <f t="shared" si="32"/>
        <v>F</v>
      </c>
      <c r="F400" s="103">
        <f>MAX('Marks Input'!$M$4:$M$37)</f>
        <v>94</v>
      </c>
      <c r="G400" s="104">
        <f>MIN('Marks Input'!$M$4:$M$37)</f>
        <v>32</v>
      </c>
      <c r="H400" s="111">
        <f>'Marks Input'!$M$40</f>
        <v>57.79</v>
      </c>
      <c r="I400" s="77">
        <f>'FM-2'!AB14</f>
        <v>33</v>
      </c>
    </row>
    <row r="401" spans="1:9" ht="15" customHeight="1" thickBot="1" x14ac:dyDescent="0.35">
      <c r="A401" s="119" t="str">
        <f>'Marks Input'!$N$2</f>
        <v>Physics</v>
      </c>
      <c r="B401" s="109">
        <f>'Marks Input'!$N$3</f>
        <v>100</v>
      </c>
      <c r="C401" s="102">
        <f>'FM-2'!R14</f>
        <v>57</v>
      </c>
      <c r="D401" s="110">
        <f t="shared" si="33"/>
        <v>0.56999999999999995</v>
      </c>
      <c r="E401" s="79" t="str">
        <f t="shared" si="32"/>
        <v>D</v>
      </c>
      <c r="F401" s="103">
        <f>MAX('Marks Input'!$N$4:$N$37)</f>
        <v>60</v>
      </c>
      <c r="G401" s="104">
        <f>MIN('Marks Input'!$N$4:$N$37)</f>
        <v>18</v>
      </c>
      <c r="H401" s="111">
        <f>'Marks Input'!$N$40</f>
        <v>42.94</v>
      </c>
      <c r="I401" s="77">
        <f>'FM-2'!AC14</f>
        <v>34</v>
      </c>
    </row>
    <row r="402" spans="1:9" ht="15" customHeight="1" thickBot="1" x14ac:dyDescent="0.35">
      <c r="A402" s="120" t="str">
        <f>'Marks Input'!$O$2</f>
        <v>Bio./Comp.</v>
      </c>
      <c r="B402" s="112">
        <f>'Marks Input'!$O$3</f>
        <v>100</v>
      </c>
      <c r="C402" s="113">
        <f>'FM-2'!S14</f>
        <v>35</v>
      </c>
      <c r="D402" s="114">
        <f>C402/B402</f>
        <v>0.35</v>
      </c>
      <c r="E402" s="80" t="str">
        <f t="shared" si="32"/>
        <v>F</v>
      </c>
      <c r="F402" s="115">
        <f>MAX('Marks Input'!$O$4:$O$37)</f>
        <v>40</v>
      </c>
      <c r="G402" s="116">
        <f>MIN('Marks Input'!$O$4:$O$37)</f>
        <v>14</v>
      </c>
      <c r="H402" s="117">
        <f>'Marks Input'!$O$40</f>
        <v>30.44</v>
      </c>
      <c r="I402" s="78">
        <f>'FM-2'!AD14</f>
        <v>33</v>
      </c>
    </row>
    <row r="403" spans="1:9" ht="21" customHeight="1" thickBot="1" x14ac:dyDescent="0.45">
      <c r="A403" s="69" t="s">
        <v>14</v>
      </c>
      <c r="B403" s="70">
        <f>'Marks Input'!$P$3</f>
        <v>900</v>
      </c>
      <c r="C403" s="71">
        <f>'FM-2'!U14</f>
        <v>322</v>
      </c>
      <c r="D403" s="72">
        <f t="shared" ref="D403" si="34">C403/B403</f>
        <v>0.35777777777777775</v>
      </c>
      <c r="E403" s="73" t="str">
        <f t="shared" si="32"/>
        <v>F</v>
      </c>
      <c r="F403" s="70">
        <f>MAX('Marks Input'!$P$4:$P$37)</f>
        <v>673</v>
      </c>
      <c r="G403" s="71">
        <f>MIN('Marks Input'!$P$4:$P$37)</f>
        <v>322</v>
      </c>
      <c r="H403" s="74">
        <f>'Marks Input'!$P$40</f>
        <v>493.26</v>
      </c>
      <c r="I403" s="75">
        <f>'FM-2'!AF14</f>
        <v>34</v>
      </c>
    </row>
    <row r="404" spans="1:9" ht="21" customHeight="1" thickBot="1" x14ac:dyDescent="0.35">
      <c r="A404" s="196" t="s">
        <v>15</v>
      </c>
      <c r="B404" s="197"/>
      <c r="C404" s="197"/>
      <c r="H404" s="82"/>
      <c r="I404" s="83"/>
    </row>
    <row r="405" spans="1:9" ht="35.1" customHeight="1" x14ac:dyDescent="0.3">
      <c r="A405" s="198" t="str">
        <f>IF(D403&gt;0.399,"Promoted Successfully","Not Promoted")</f>
        <v>Not Promoted</v>
      </c>
      <c r="B405" s="199"/>
      <c r="C405" s="199"/>
      <c r="D405" s="199"/>
      <c r="E405" s="199"/>
      <c r="F405" s="199"/>
      <c r="G405" s="199"/>
      <c r="H405" s="199"/>
      <c r="I405" s="200"/>
    </row>
    <row r="406" spans="1:9" ht="35.1" customHeight="1" thickBot="1" x14ac:dyDescent="0.35">
      <c r="A406" s="201"/>
      <c r="B406" s="202"/>
      <c r="C406" s="202"/>
      <c r="D406" s="202"/>
      <c r="E406" s="202"/>
      <c r="F406" s="202"/>
      <c r="G406" s="202"/>
      <c r="H406" s="202"/>
      <c r="I406" s="203"/>
    </row>
    <row r="407" spans="1:9" ht="30" customHeight="1" x14ac:dyDescent="0.3">
      <c r="A407" s="85"/>
      <c r="D407" s="133" t="s">
        <v>140</v>
      </c>
      <c r="E407" s="133"/>
      <c r="F407" s="133"/>
      <c r="G407" s="204"/>
      <c r="H407" s="204"/>
      <c r="I407" s="205"/>
    </row>
    <row r="408" spans="1:9" ht="30" customHeight="1" x14ac:dyDescent="0.3">
      <c r="A408" s="84"/>
      <c r="D408" s="134" t="s">
        <v>16</v>
      </c>
      <c r="E408" s="134"/>
      <c r="F408" s="134"/>
      <c r="G408" s="206"/>
      <c r="H408" s="206"/>
      <c r="I408" s="207"/>
    </row>
    <row r="409" spans="1:9" ht="15" customHeight="1" x14ac:dyDescent="0.3">
      <c r="A409" s="84"/>
      <c r="F409" s="208" t="str">
        <f>A386</f>
        <v>APS Hazro</v>
      </c>
      <c r="G409" s="208"/>
      <c r="H409" s="208"/>
      <c r="I409" s="209"/>
    </row>
    <row r="410" spans="1:9" ht="15" customHeight="1" thickBot="1" x14ac:dyDescent="0.35">
      <c r="A410" s="210"/>
      <c r="B410" s="211"/>
      <c r="C410" s="211"/>
      <c r="D410" s="211"/>
      <c r="E410" s="211"/>
      <c r="F410" s="211"/>
      <c r="G410" s="211"/>
      <c r="H410" s="211"/>
      <c r="I410" s="212"/>
    </row>
    <row r="411" spans="1:9" ht="15" customHeight="1" x14ac:dyDescent="0.3">
      <c r="A411" s="213"/>
      <c r="B411" s="214"/>
      <c r="C411" s="214"/>
      <c r="D411" s="214"/>
      <c r="E411" s="214"/>
      <c r="F411" s="214"/>
      <c r="G411" s="214"/>
      <c r="H411" s="214"/>
      <c r="I411" s="215"/>
    </row>
    <row r="412" spans="1:9" ht="21" customHeight="1" x14ac:dyDescent="0.35">
      <c r="A412" s="87" t="s">
        <v>17</v>
      </c>
      <c r="B412" s="105">
        <f>H390</f>
        <v>12</v>
      </c>
      <c r="C412" s="88"/>
      <c r="D412" s="89" t="s">
        <v>3</v>
      </c>
      <c r="E412" s="89" t="str">
        <f>E390</f>
        <v>7TH</v>
      </c>
      <c r="F412" s="90" t="s">
        <v>18</v>
      </c>
      <c r="G412" s="216" t="str">
        <f>E403</f>
        <v>F</v>
      </c>
      <c r="H412" s="216"/>
      <c r="I412" s="217"/>
    </row>
    <row r="413" spans="1:9" ht="30" customHeight="1" x14ac:dyDescent="0.3">
      <c r="A413" s="176" t="s">
        <v>210</v>
      </c>
      <c r="B413" s="177"/>
      <c r="C413" s="218"/>
      <c r="D413" s="218"/>
      <c r="E413" s="187" t="s">
        <v>19</v>
      </c>
      <c r="F413" s="187"/>
      <c r="G413" s="219"/>
      <c r="H413" s="219"/>
      <c r="I413" s="220"/>
    </row>
    <row r="414" spans="1:9" ht="30" customHeight="1" x14ac:dyDescent="0.3">
      <c r="A414" s="176" t="s">
        <v>20</v>
      </c>
      <c r="B414" s="177"/>
      <c r="C414" s="178"/>
      <c r="D414" s="178"/>
      <c r="E414" s="178"/>
      <c r="F414" s="178"/>
      <c r="G414" s="178"/>
      <c r="H414" s="178"/>
      <c r="I414" s="179"/>
    </row>
    <row r="415" spans="1:9" ht="30" customHeight="1" x14ac:dyDescent="0.3">
      <c r="A415" s="180"/>
      <c r="B415" s="181"/>
      <c r="C415" s="181"/>
      <c r="D415" s="181"/>
      <c r="E415" s="181"/>
      <c r="F415" s="181"/>
      <c r="G415" s="181"/>
      <c r="H415" s="181"/>
      <c r="I415" s="182"/>
    </row>
    <row r="416" spans="1:9" ht="21" customHeight="1" x14ac:dyDescent="0.3">
      <c r="A416" s="183"/>
      <c r="B416" s="184"/>
      <c r="C416" s="184"/>
      <c r="D416" s="184"/>
      <c r="E416" s="184"/>
      <c r="F416" s="184"/>
      <c r="G416" s="184"/>
      <c r="H416" s="184"/>
      <c r="I416" s="185"/>
    </row>
    <row r="417" spans="1:9" ht="21" customHeight="1" x14ac:dyDescent="0.3">
      <c r="A417" s="91" t="s">
        <v>207</v>
      </c>
      <c r="B417" s="186">
        <f ca="1">TODAY()</f>
        <v>46315</v>
      </c>
      <c r="C417" s="186"/>
      <c r="D417" s="187" t="s">
        <v>141</v>
      </c>
      <c r="E417" s="187"/>
      <c r="F417" s="187"/>
      <c r="G417" s="188"/>
      <c r="H417" s="188"/>
      <c r="I417" s="189"/>
    </row>
    <row r="418" spans="1:9" ht="21" customHeight="1" x14ac:dyDescent="0.3">
      <c r="A418" s="190" t="s">
        <v>211</v>
      </c>
      <c r="B418" s="191"/>
      <c r="C418" s="191"/>
      <c r="D418" s="191"/>
      <c r="E418" s="191"/>
      <c r="F418" s="191"/>
      <c r="G418" s="191"/>
      <c r="H418" s="191"/>
      <c r="I418" s="192"/>
    </row>
    <row r="419" spans="1:9" ht="15" customHeight="1" x14ac:dyDescent="0.3">
      <c r="A419" s="190"/>
      <c r="B419" s="191"/>
      <c r="C419" s="191"/>
      <c r="D419" s="191"/>
      <c r="E419" s="191"/>
      <c r="F419" s="191"/>
      <c r="G419" s="191"/>
      <c r="H419" s="191"/>
      <c r="I419" s="192"/>
    </row>
    <row r="420" spans="1:9" ht="15" thickBot="1" x14ac:dyDescent="0.35">
      <c r="A420" s="193"/>
      <c r="B420" s="194"/>
      <c r="C420" s="194"/>
      <c r="D420" s="194"/>
      <c r="E420" s="194"/>
      <c r="F420" s="194"/>
      <c r="G420" s="194"/>
      <c r="H420" s="194"/>
      <c r="I420" s="195"/>
    </row>
    <row r="421" spans="1:9" ht="41.1" customHeight="1" thickBot="1" x14ac:dyDescent="0.35">
      <c r="A421" s="240" t="str">
        <f>'FM-2'!$I$3</f>
        <v>APS Hazro</v>
      </c>
      <c r="B421" s="241"/>
      <c r="C421" s="241"/>
      <c r="D421" s="241"/>
      <c r="E421" s="241"/>
      <c r="F421" s="241"/>
      <c r="G421" s="241"/>
      <c r="H421" s="241"/>
      <c r="I421" s="242"/>
    </row>
    <row r="422" spans="1:9" ht="21" customHeight="1" thickBot="1" x14ac:dyDescent="0.4">
      <c r="A422" s="129" t="str">
        <f>'FM-2'!$J$3</f>
        <v>ANNUAL EXAM 2024</v>
      </c>
      <c r="B422" s="67"/>
      <c r="C422" s="67"/>
      <c r="D422" s="67"/>
      <c r="E422" s="67"/>
      <c r="F422" s="67"/>
      <c r="G422" s="67"/>
      <c r="H422" s="67"/>
      <c r="I422" s="68"/>
    </row>
    <row r="423" spans="1:9" ht="21" customHeight="1" x14ac:dyDescent="0.35">
      <c r="A423" s="122"/>
      <c r="B423" s="123"/>
      <c r="C423" s="123"/>
      <c r="D423" s="123"/>
      <c r="E423" s="123"/>
      <c r="F423" s="123"/>
      <c r="G423" s="123"/>
      <c r="H423" s="123"/>
      <c r="I423" s="124"/>
    </row>
    <row r="424" spans="1:9" ht="21" customHeight="1" x14ac:dyDescent="0.3">
      <c r="A424" s="221" t="s">
        <v>0</v>
      </c>
      <c r="B424" s="222"/>
      <c r="C424" s="98" t="str">
        <f>'FM-2'!E15</f>
        <v>Ali13</v>
      </c>
      <c r="D424" s="98"/>
      <c r="E424" s="98"/>
      <c r="F424" s="222" t="s">
        <v>1</v>
      </c>
      <c r="G424" s="222"/>
      <c r="H424" s="223" t="str">
        <f>'FM-2'!F15</f>
        <v>Khan 13</v>
      </c>
      <c r="I424" s="224"/>
    </row>
    <row r="425" spans="1:9" ht="21" customHeight="1" x14ac:dyDescent="0.3">
      <c r="A425" s="221" t="s">
        <v>2</v>
      </c>
      <c r="B425" s="222"/>
      <c r="C425" s="92">
        <f>'FM-2'!C15</f>
        <v>1012</v>
      </c>
      <c r="D425" s="93" t="s">
        <v>3</v>
      </c>
      <c r="E425" s="92" t="str">
        <f>'FM-2'!$B$3</f>
        <v>7TH</v>
      </c>
      <c r="F425" s="222" t="s">
        <v>4</v>
      </c>
      <c r="G425" s="222"/>
      <c r="H425" s="225">
        <f>'FM-2'!D15</f>
        <v>13</v>
      </c>
      <c r="I425" s="226"/>
    </row>
    <row r="426" spans="1:9" ht="21" customHeight="1" thickBot="1" x14ac:dyDescent="0.35">
      <c r="A426" s="227" t="s">
        <v>206</v>
      </c>
      <c r="B426" s="228"/>
      <c r="C426" s="94">
        <f>COUNTIF('Marks Input'!$B$4:$B$63,"&gt;0")</f>
        <v>34</v>
      </c>
      <c r="D426" s="93"/>
      <c r="E426" s="95"/>
      <c r="F426" s="93"/>
      <c r="G426" s="93"/>
      <c r="H426" s="96"/>
      <c r="I426" s="97"/>
    </row>
    <row r="427" spans="1:9" ht="15.75" customHeight="1" thickBot="1" x14ac:dyDescent="0.35">
      <c r="A427" s="229" t="s">
        <v>5</v>
      </c>
      <c r="B427" s="231" t="s">
        <v>6</v>
      </c>
      <c r="C427" s="233" t="s">
        <v>7</v>
      </c>
      <c r="D427" s="235" t="s">
        <v>209</v>
      </c>
      <c r="E427" s="229" t="s">
        <v>8</v>
      </c>
      <c r="F427" s="237" t="s">
        <v>9</v>
      </c>
      <c r="G427" s="238"/>
      <c r="H427" s="238"/>
      <c r="I427" s="239"/>
    </row>
    <row r="428" spans="1:9" ht="30" customHeight="1" thickBot="1" x14ac:dyDescent="0.35">
      <c r="A428" s="230"/>
      <c r="B428" s="232"/>
      <c r="C428" s="234"/>
      <c r="D428" s="236"/>
      <c r="E428" s="230"/>
      <c r="F428" s="125" t="s">
        <v>10</v>
      </c>
      <c r="G428" s="126" t="s">
        <v>11</v>
      </c>
      <c r="H428" s="127" t="s">
        <v>12</v>
      </c>
      <c r="I428" s="128" t="s">
        <v>208</v>
      </c>
    </row>
    <row r="429" spans="1:9" ht="15" customHeight="1" thickBot="1" x14ac:dyDescent="0.35">
      <c r="A429" s="118" t="str">
        <f>'Marks Input'!$G$2</f>
        <v>Urdu</v>
      </c>
      <c r="B429" s="106">
        <f>'Marks Input'!$G$3</f>
        <v>100</v>
      </c>
      <c r="C429" s="99">
        <f>'FM-2'!K15</f>
        <v>68</v>
      </c>
      <c r="D429" s="107">
        <f>C429/B429</f>
        <v>0.68</v>
      </c>
      <c r="E429" s="79" t="str">
        <f>IF(D429&gt;0.899,"A+",IF(D429&gt;0.799,"A",IF(D429&gt;0.699,"B",IF(D429&gt;0.599,"C",IF(D429&gt;0.499,"D",IF(D429&gt;0.399,"E","F"))))))</f>
        <v>C</v>
      </c>
      <c r="F429" s="100">
        <f>MAX('Marks Input'!$G$4:$G$37)</f>
        <v>72</v>
      </c>
      <c r="G429" s="101">
        <f>MIN('Marks Input'!$G$4:$G$37)</f>
        <v>40</v>
      </c>
      <c r="H429" s="108">
        <f>'Marks Input'!$G$40</f>
        <v>62.59</v>
      </c>
      <c r="I429" s="76">
        <f>'FM-2'!V15</f>
        <v>9</v>
      </c>
    </row>
    <row r="430" spans="1:9" ht="15" customHeight="1" thickBot="1" x14ac:dyDescent="0.35">
      <c r="A430" s="119" t="str">
        <f>'Marks Input'!$H$2</f>
        <v>English</v>
      </c>
      <c r="B430" s="109">
        <f>'Marks Input'!$H$3</f>
        <v>100</v>
      </c>
      <c r="C430" s="102">
        <f>'FM-2'!L15</f>
        <v>33</v>
      </c>
      <c r="D430" s="110">
        <f>C430/B430</f>
        <v>0.33</v>
      </c>
      <c r="E430" s="79" t="str">
        <f t="shared" ref="E430:E438" si="35">IF(D430&gt;0.899,"A+",IF(D430&gt;0.799,"A",IF(D430&gt;0.699,"B",IF(D430&gt;0.599,"C",IF(D430&gt;0.499,"D",IF(D430&gt;0.399,"E","F"))))))</f>
        <v>F</v>
      </c>
      <c r="F430" s="103">
        <f>MAX('Marks Input'!$H$4:$H$37)</f>
        <v>74</v>
      </c>
      <c r="G430" s="104">
        <f>MIN('Marks Input'!$H$4:$H$37)</f>
        <v>30</v>
      </c>
      <c r="H430" s="111">
        <f>'Marks Input'!$H$40</f>
        <v>43.26</v>
      </c>
      <c r="I430" s="77">
        <f>'FM-2'!W15</f>
        <v>19</v>
      </c>
    </row>
    <row r="431" spans="1:9" ht="15" customHeight="1" thickBot="1" x14ac:dyDescent="0.35">
      <c r="A431" s="119" t="str">
        <f>'Marks Input'!$I$2</f>
        <v>Islamiyat</v>
      </c>
      <c r="B431" s="109">
        <f>'Marks Input'!$I$3</f>
        <v>100</v>
      </c>
      <c r="C431" s="102">
        <f>'FM-2'!M15</f>
        <v>40</v>
      </c>
      <c r="D431" s="110">
        <f t="shared" ref="D431:D436" si="36">C431/B431</f>
        <v>0.4</v>
      </c>
      <c r="E431" s="79" t="str">
        <f t="shared" si="35"/>
        <v>E</v>
      </c>
      <c r="F431" s="103">
        <f>MAX('Marks Input'!$I$4:$I$37)</f>
        <v>88</v>
      </c>
      <c r="G431" s="104">
        <f>MIN('Marks Input'!$I$4:$I$37)</f>
        <v>34</v>
      </c>
      <c r="H431" s="111">
        <f>'Marks Input'!$I$40</f>
        <v>48.29</v>
      </c>
      <c r="I431" s="77">
        <f>'FM-2'!X15</f>
        <v>22</v>
      </c>
    </row>
    <row r="432" spans="1:9" ht="15" customHeight="1" thickBot="1" x14ac:dyDescent="0.35">
      <c r="A432" s="119" t="str">
        <f>'Marks Input'!$J$2</f>
        <v>Pak Studies</v>
      </c>
      <c r="B432" s="109">
        <f>'Marks Input'!$J$3</f>
        <v>100</v>
      </c>
      <c r="C432" s="102">
        <f>'FM-2'!N15</f>
        <v>66</v>
      </c>
      <c r="D432" s="110">
        <f t="shared" si="36"/>
        <v>0.66</v>
      </c>
      <c r="E432" s="79" t="str">
        <f t="shared" si="35"/>
        <v>C</v>
      </c>
      <c r="F432" s="103">
        <f>MAX('Marks Input'!$J$4:$J$37)</f>
        <v>96</v>
      </c>
      <c r="G432" s="104">
        <f>MIN('Marks Input'!$J$4:$J$37)</f>
        <v>34</v>
      </c>
      <c r="H432" s="111">
        <f>'Marks Input'!$J$40</f>
        <v>71.03</v>
      </c>
      <c r="I432" s="77">
        <f>'FM-2'!Y15</f>
        <v>11</v>
      </c>
    </row>
    <row r="433" spans="1:9" ht="15" customHeight="1" thickBot="1" x14ac:dyDescent="0.35">
      <c r="A433" s="119" t="str">
        <f>'Marks Input'!$K$2</f>
        <v>Maths</v>
      </c>
      <c r="B433" s="109">
        <f>'Marks Input'!$K$3</f>
        <v>100</v>
      </c>
      <c r="C433" s="102">
        <f>'FM-2'!O15</f>
        <v>40</v>
      </c>
      <c r="D433" s="110">
        <f t="shared" si="36"/>
        <v>0.4</v>
      </c>
      <c r="E433" s="79" t="str">
        <f t="shared" si="35"/>
        <v>E</v>
      </c>
      <c r="F433" s="103">
        <f>MAX('Marks Input'!$K$4:$K$37)</f>
        <v>94</v>
      </c>
      <c r="G433" s="104">
        <f>MIN('Marks Input'!$K$4:$K$37)</f>
        <v>57</v>
      </c>
      <c r="H433" s="111">
        <f>'Marks Input'!$K$40</f>
        <v>75.819999999999993</v>
      </c>
      <c r="I433" s="77">
        <f>'FM-2'!Z15</f>
        <v>19</v>
      </c>
    </row>
    <row r="434" spans="1:9" ht="15" customHeight="1" thickBot="1" x14ac:dyDescent="0.35">
      <c r="A434" s="119" t="str">
        <f>'Marks Input'!$L$2</f>
        <v>Sci./ Che.</v>
      </c>
      <c r="B434" s="109">
        <f>'Marks Input'!$L$3</f>
        <v>100</v>
      </c>
      <c r="C434" s="102">
        <f>'FM-2'!P15</f>
        <v>54</v>
      </c>
      <c r="D434" s="110">
        <f t="shared" si="36"/>
        <v>0.54</v>
      </c>
      <c r="E434" s="79" t="str">
        <f t="shared" si="35"/>
        <v>D</v>
      </c>
      <c r="F434" s="103">
        <f>MAX('Marks Input'!$L$4:$L$37)</f>
        <v>98</v>
      </c>
      <c r="G434" s="104">
        <f>MIN('Marks Input'!$L$4:$L$37)</f>
        <v>40</v>
      </c>
      <c r="H434" s="111">
        <f>'Marks Input'!$L$40</f>
        <v>61.09</v>
      </c>
      <c r="I434" s="77">
        <f>'FM-2'!AA15</f>
        <v>24</v>
      </c>
    </row>
    <row r="435" spans="1:9" ht="15" customHeight="1" thickBot="1" x14ac:dyDescent="0.35">
      <c r="A435" s="119" t="str">
        <f>'Marks Input'!$M$2</f>
        <v>Nazra</v>
      </c>
      <c r="B435" s="109">
        <f>'Marks Input'!$M$3</f>
        <v>100</v>
      </c>
      <c r="C435" s="102">
        <f>'FM-2'!Q15</f>
        <v>43</v>
      </c>
      <c r="D435" s="110">
        <f t="shared" si="36"/>
        <v>0.43</v>
      </c>
      <c r="E435" s="79" t="str">
        <f t="shared" si="35"/>
        <v>E</v>
      </c>
      <c r="F435" s="103">
        <f>MAX('Marks Input'!$M$4:$M$37)</f>
        <v>94</v>
      </c>
      <c r="G435" s="104">
        <f>MIN('Marks Input'!$M$4:$M$37)</f>
        <v>32</v>
      </c>
      <c r="H435" s="111">
        <f>'Marks Input'!$M$40</f>
        <v>57.79</v>
      </c>
      <c r="I435" s="77">
        <f>'FM-2'!AB15</f>
        <v>28</v>
      </c>
    </row>
    <row r="436" spans="1:9" ht="15" customHeight="1" thickBot="1" x14ac:dyDescent="0.35">
      <c r="A436" s="119" t="str">
        <f>'Marks Input'!$N$2</f>
        <v>Physics</v>
      </c>
      <c r="B436" s="109">
        <f>'Marks Input'!$N$3</f>
        <v>100</v>
      </c>
      <c r="C436" s="102">
        <f>'FM-2'!R15</f>
        <v>67</v>
      </c>
      <c r="D436" s="110">
        <f t="shared" si="36"/>
        <v>0.67</v>
      </c>
      <c r="E436" s="79" t="str">
        <f t="shared" si="35"/>
        <v>C</v>
      </c>
      <c r="F436" s="103">
        <f>MAX('Marks Input'!$N$4:$N$37)</f>
        <v>60</v>
      </c>
      <c r="G436" s="104">
        <f>MIN('Marks Input'!$N$4:$N$37)</f>
        <v>18</v>
      </c>
      <c r="H436" s="111">
        <f>'Marks Input'!$N$40</f>
        <v>42.94</v>
      </c>
      <c r="I436" s="77">
        <f>'FM-2'!AC15</f>
        <v>29</v>
      </c>
    </row>
    <row r="437" spans="1:9" ht="15" customHeight="1" thickBot="1" x14ac:dyDescent="0.35">
      <c r="A437" s="120" t="str">
        <f>'Marks Input'!$O$2</f>
        <v>Bio./Comp.</v>
      </c>
      <c r="B437" s="112">
        <f>'Marks Input'!$O$3</f>
        <v>100</v>
      </c>
      <c r="C437" s="113">
        <f>'FM-2'!S15</f>
        <v>43</v>
      </c>
      <c r="D437" s="114">
        <f>C437/B437</f>
        <v>0.43</v>
      </c>
      <c r="E437" s="80" t="str">
        <f t="shared" si="35"/>
        <v>E</v>
      </c>
      <c r="F437" s="115">
        <f>MAX('Marks Input'!$O$4:$O$37)</f>
        <v>40</v>
      </c>
      <c r="G437" s="116">
        <f>MIN('Marks Input'!$O$4:$O$37)</f>
        <v>14</v>
      </c>
      <c r="H437" s="117">
        <f>'Marks Input'!$O$40</f>
        <v>30.44</v>
      </c>
      <c r="I437" s="78">
        <f>'FM-2'!AD15</f>
        <v>28</v>
      </c>
    </row>
    <row r="438" spans="1:9" ht="21" customHeight="1" thickBot="1" x14ac:dyDescent="0.45">
      <c r="A438" s="69" t="s">
        <v>14</v>
      </c>
      <c r="B438" s="70">
        <f>'Marks Input'!$P$3</f>
        <v>900</v>
      </c>
      <c r="C438" s="71">
        <f>'FM-2'!U15</f>
        <v>439</v>
      </c>
      <c r="D438" s="72">
        <f t="shared" ref="D438" si="37">C438/B438</f>
        <v>0.48777777777777775</v>
      </c>
      <c r="E438" s="73" t="str">
        <f t="shared" si="35"/>
        <v>E</v>
      </c>
      <c r="F438" s="70">
        <f>MAX('Marks Input'!$P$4:$P$37)</f>
        <v>673</v>
      </c>
      <c r="G438" s="71">
        <f>MIN('Marks Input'!$P$4:$P$37)</f>
        <v>322</v>
      </c>
      <c r="H438" s="74">
        <f>'Marks Input'!$P$40</f>
        <v>493.26</v>
      </c>
      <c r="I438" s="75">
        <f>'FM-2'!AF15</f>
        <v>24</v>
      </c>
    </row>
    <row r="439" spans="1:9" ht="21" customHeight="1" thickBot="1" x14ac:dyDescent="0.35">
      <c r="A439" s="196" t="s">
        <v>15</v>
      </c>
      <c r="B439" s="197"/>
      <c r="C439" s="197"/>
      <c r="H439" s="82"/>
      <c r="I439" s="83"/>
    </row>
    <row r="440" spans="1:9" ht="35.1" customHeight="1" x14ac:dyDescent="0.3">
      <c r="A440" s="198" t="str">
        <f>IF(D438&gt;0.399,"Promoted Successfully","Not Promoted")</f>
        <v>Promoted Successfully</v>
      </c>
      <c r="B440" s="199"/>
      <c r="C440" s="199"/>
      <c r="D440" s="199"/>
      <c r="E440" s="199"/>
      <c r="F440" s="199"/>
      <c r="G440" s="199"/>
      <c r="H440" s="199"/>
      <c r="I440" s="200"/>
    </row>
    <row r="441" spans="1:9" ht="35.1" customHeight="1" thickBot="1" x14ac:dyDescent="0.35">
      <c r="A441" s="201"/>
      <c r="B441" s="202"/>
      <c r="C441" s="202"/>
      <c r="D441" s="202"/>
      <c r="E441" s="202"/>
      <c r="F441" s="202"/>
      <c r="G441" s="202"/>
      <c r="H441" s="202"/>
      <c r="I441" s="203"/>
    </row>
    <row r="442" spans="1:9" ht="30" customHeight="1" x14ac:dyDescent="0.3">
      <c r="A442" s="84"/>
      <c r="B442" s="85"/>
      <c r="C442" s="85"/>
      <c r="D442" s="121" t="s">
        <v>140</v>
      </c>
      <c r="E442" s="86"/>
      <c r="F442" s="86"/>
      <c r="G442" s="204"/>
      <c r="H442" s="204"/>
      <c r="I442" s="205"/>
    </row>
    <row r="443" spans="1:9" ht="30" customHeight="1" x14ac:dyDescent="0.3">
      <c r="A443" s="84"/>
      <c r="D443" s="121" t="s">
        <v>16</v>
      </c>
      <c r="E443" s="86"/>
      <c r="F443" s="86"/>
      <c r="G443" s="206"/>
      <c r="H443" s="206"/>
      <c r="I443" s="207"/>
    </row>
    <row r="444" spans="1:9" ht="15" customHeight="1" x14ac:dyDescent="0.3">
      <c r="A444" s="84"/>
      <c r="F444" s="208" t="str">
        <f>A421</f>
        <v>APS Hazro</v>
      </c>
      <c r="G444" s="208"/>
      <c r="H444" s="208"/>
      <c r="I444" s="209"/>
    </row>
    <row r="445" spans="1:9" ht="15" customHeight="1" thickBot="1" x14ac:dyDescent="0.35">
      <c r="A445" s="210"/>
      <c r="B445" s="211"/>
      <c r="C445" s="211"/>
      <c r="D445" s="211"/>
      <c r="E445" s="211"/>
      <c r="F445" s="211"/>
      <c r="G445" s="211"/>
      <c r="H445" s="211"/>
      <c r="I445" s="212"/>
    </row>
    <row r="446" spans="1:9" ht="15" customHeight="1" x14ac:dyDescent="0.3">
      <c r="A446" s="213"/>
      <c r="B446" s="214"/>
      <c r="C446" s="214"/>
      <c r="D446" s="214"/>
      <c r="E446" s="214"/>
      <c r="F446" s="214"/>
      <c r="G446" s="214"/>
      <c r="H446" s="214"/>
      <c r="I446" s="215"/>
    </row>
    <row r="447" spans="1:9" ht="21" customHeight="1" x14ac:dyDescent="0.35">
      <c r="A447" s="87" t="s">
        <v>17</v>
      </c>
      <c r="B447" s="105">
        <f>H425</f>
        <v>13</v>
      </c>
      <c r="C447" s="88"/>
      <c r="D447" s="89" t="s">
        <v>3</v>
      </c>
      <c r="E447" s="89" t="str">
        <f>E425</f>
        <v>7TH</v>
      </c>
      <c r="F447" s="90" t="s">
        <v>18</v>
      </c>
      <c r="G447" s="216" t="str">
        <f>E438</f>
        <v>E</v>
      </c>
      <c r="H447" s="216"/>
      <c r="I447" s="217"/>
    </row>
    <row r="448" spans="1:9" ht="30" customHeight="1" x14ac:dyDescent="0.3">
      <c r="A448" s="176" t="s">
        <v>210</v>
      </c>
      <c r="B448" s="177"/>
      <c r="C448" s="218"/>
      <c r="D448" s="218"/>
      <c r="E448" s="187" t="s">
        <v>19</v>
      </c>
      <c r="F448" s="187"/>
      <c r="G448" s="219">
        <f>'FM-2'!G15</f>
        <v>3005327199</v>
      </c>
      <c r="H448" s="219"/>
      <c r="I448" s="220"/>
    </row>
    <row r="449" spans="1:9" ht="30" customHeight="1" x14ac:dyDescent="0.3">
      <c r="A449" s="176" t="s">
        <v>20</v>
      </c>
      <c r="B449" s="177"/>
      <c r="C449" s="178"/>
      <c r="D449" s="178"/>
      <c r="E449" s="178"/>
      <c r="F449" s="178"/>
      <c r="G449" s="178"/>
      <c r="H449" s="178"/>
      <c r="I449" s="179"/>
    </row>
    <row r="450" spans="1:9" ht="30" customHeight="1" x14ac:dyDescent="0.3">
      <c r="A450" s="180"/>
      <c r="B450" s="181"/>
      <c r="C450" s="181"/>
      <c r="D450" s="181"/>
      <c r="E450" s="181"/>
      <c r="F450" s="181"/>
      <c r="G450" s="181"/>
      <c r="H450" s="181"/>
      <c r="I450" s="182"/>
    </row>
    <row r="451" spans="1:9" ht="21" customHeight="1" x14ac:dyDescent="0.3">
      <c r="A451" s="183"/>
      <c r="B451" s="184"/>
      <c r="C451" s="184"/>
      <c r="D451" s="184"/>
      <c r="E451" s="184"/>
      <c r="F451" s="184"/>
      <c r="G451" s="184"/>
      <c r="H451" s="184"/>
      <c r="I451" s="185"/>
    </row>
    <row r="452" spans="1:9" ht="21" customHeight="1" x14ac:dyDescent="0.3">
      <c r="A452" s="91" t="s">
        <v>207</v>
      </c>
      <c r="B452" s="186">
        <f ca="1">TODAY()</f>
        <v>46315</v>
      </c>
      <c r="C452" s="186"/>
      <c r="D452" s="187" t="s">
        <v>141</v>
      </c>
      <c r="E452" s="187"/>
      <c r="F452" s="187"/>
      <c r="G452" s="188"/>
      <c r="H452" s="188"/>
      <c r="I452" s="189"/>
    </row>
    <row r="453" spans="1:9" ht="21" customHeight="1" x14ac:dyDescent="0.3">
      <c r="A453" s="190" t="s">
        <v>211</v>
      </c>
      <c r="B453" s="191"/>
      <c r="C453" s="191"/>
      <c r="D453" s="191"/>
      <c r="E453" s="191"/>
      <c r="F453" s="191"/>
      <c r="G453" s="191"/>
      <c r="H453" s="191"/>
      <c r="I453" s="192"/>
    </row>
    <row r="454" spans="1:9" ht="15" customHeight="1" x14ac:dyDescent="0.3">
      <c r="A454" s="190"/>
      <c r="B454" s="191"/>
      <c r="C454" s="191"/>
      <c r="D454" s="191"/>
      <c r="E454" s="191"/>
      <c r="F454" s="191"/>
      <c r="G454" s="191"/>
      <c r="H454" s="191"/>
      <c r="I454" s="192"/>
    </row>
    <row r="455" spans="1:9" ht="15" thickBot="1" x14ac:dyDescent="0.35">
      <c r="A455" s="193"/>
      <c r="B455" s="194"/>
      <c r="C455" s="194"/>
      <c r="D455" s="194"/>
      <c r="E455" s="194"/>
      <c r="F455" s="194"/>
      <c r="G455" s="194"/>
      <c r="H455" s="194"/>
      <c r="I455" s="195"/>
    </row>
    <row r="456" spans="1:9" ht="41.1" customHeight="1" thickBot="1" x14ac:dyDescent="0.35">
      <c r="A456" s="240" t="str">
        <f>'FM-2'!$I$3</f>
        <v>APS Hazro</v>
      </c>
      <c r="B456" s="241"/>
      <c r="C456" s="241"/>
      <c r="D456" s="241"/>
      <c r="E456" s="241"/>
      <c r="F456" s="241"/>
      <c r="G456" s="241"/>
      <c r="H456" s="241"/>
      <c r="I456" s="242"/>
    </row>
    <row r="457" spans="1:9" ht="21" customHeight="1" thickBot="1" x14ac:dyDescent="0.4">
      <c r="A457" s="129" t="str">
        <f>'FM-2'!$J$3</f>
        <v>ANNUAL EXAM 2024</v>
      </c>
      <c r="B457" s="67"/>
      <c r="C457" s="67"/>
      <c r="D457" s="67"/>
      <c r="E457" s="67"/>
      <c r="F457" s="67"/>
      <c r="G457" s="67"/>
      <c r="H457" s="67"/>
      <c r="I457" s="68"/>
    </row>
    <row r="458" spans="1:9" ht="21" customHeight="1" x14ac:dyDescent="0.35">
      <c r="A458" s="122"/>
      <c r="B458" s="123"/>
      <c r="C458" s="123"/>
      <c r="D458" s="123"/>
      <c r="E458" s="123"/>
      <c r="F458" s="123"/>
      <c r="G458" s="123"/>
      <c r="H458" s="123"/>
      <c r="I458" s="124"/>
    </row>
    <row r="459" spans="1:9" ht="21" customHeight="1" x14ac:dyDescent="0.3">
      <c r="A459" s="221" t="s">
        <v>0</v>
      </c>
      <c r="B459" s="222"/>
      <c r="C459" s="98" t="str">
        <f>'FM-2'!E16</f>
        <v>Ali14</v>
      </c>
      <c r="D459" s="98"/>
      <c r="E459" s="98"/>
      <c r="F459" s="222" t="s">
        <v>1</v>
      </c>
      <c r="G459" s="222"/>
      <c r="H459" s="223" t="str">
        <f>'FM-2'!F16</f>
        <v>Khan 14</v>
      </c>
      <c r="I459" s="224"/>
    </row>
    <row r="460" spans="1:9" ht="21" customHeight="1" x14ac:dyDescent="0.3">
      <c r="A460" s="221" t="s">
        <v>2</v>
      </c>
      <c r="B460" s="222"/>
      <c r="C460" s="92">
        <f>'FM-2'!C16</f>
        <v>1013</v>
      </c>
      <c r="D460" s="93" t="s">
        <v>3</v>
      </c>
      <c r="E460" s="92" t="str">
        <f>'FM-2'!$B$3</f>
        <v>7TH</v>
      </c>
      <c r="F460" s="222" t="s">
        <v>4</v>
      </c>
      <c r="G460" s="222"/>
      <c r="H460" s="225">
        <f>'FM-2'!D16</f>
        <v>14</v>
      </c>
      <c r="I460" s="226"/>
    </row>
    <row r="461" spans="1:9" ht="21" customHeight="1" thickBot="1" x14ac:dyDescent="0.35">
      <c r="A461" s="227" t="s">
        <v>206</v>
      </c>
      <c r="B461" s="228"/>
      <c r="C461" s="94">
        <f>COUNTIF('Marks Input'!$B$4:$B$63,"&gt;0")</f>
        <v>34</v>
      </c>
      <c r="D461" s="93"/>
      <c r="E461" s="95"/>
      <c r="F461" s="93"/>
      <c r="G461" s="93"/>
      <c r="H461" s="96"/>
      <c r="I461" s="97"/>
    </row>
    <row r="462" spans="1:9" ht="15.75" customHeight="1" thickBot="1" x14ac:dyDescent="0.35">
      <c r="A462" s="229" t="s">
        <v>5</v>
      </c>
      <c r="B462" s="231" t="s">
        <v>6</v>
      </c>
      <c r="C462" s="233" t="s">
        <v>7</v>
      </c>
      <c r="D462" s="235" t="s">
        <v>209</v>
      </c>
      <c r="E462" s="229" t="s">
        <v>8</v>
      </c>
      <c r="F462" s="237" t="s">
        <v>9</v>
      </c>
      <c r="G462" s="238"/>
      <c r="H462" s="238"/>
      <c r="I462" s="239"/>
    </row>
    <row r="463" spans="1:9" ht="30" customHeight="1" thickBot="1" x14ac:dyDescent="0.35">
      <c r="A463" s="230"/>
      <c r="B463" s="232"/>
      <c r="C463" s="234"/>
      <c r="D463" s="236"/>
      <c r="E463" s="230"/>
      <c r="F463" s="125" t="s">
        <v>10</v>
      </c>
      <c r="G463" s="126" t="s">
        <v>11</v>
      </c>
      <c r="H463" s="127" t="s">
        <v>12</v>
      </c>
      <c r="I463" s="128" t="s">
        <v>208</v>
      </c>
    </row>
    <row r="464" spans="1:9" ht="15" customHeight="1" thickBot="1" x14ac:dyDescent="0.35">
      <c r="A464" s="118" t="str">
        <f>'Marks Input'!$G$2</f>
        <v>Urdu</v>
      </c>
      <c r="B464" s="106">
        <f>'Marks Input'!$G$3</f>
        <v>100</v>
      </c>
      <c r="C464" s="99">
        <f>'FM-2'!K16</f>
        <v>46</v>
      </c>
      <c r="D464" s="107">
        <f>C464/B464</f>
        <v>0.46</v>
      </c>
      <c r="E464" s="79" t="str">
        <f>IF(D464&gt;0.899,"A+",IF(D464&gt;0.799,"A",IF(D464&gt;0.699,"B",IF(D464&gt;0.599,"C",IF(D464&gt;0.499,"D",IF(D464&gt;0.399,"E","F"))))))</f>
        <v>E</v>
      </c>
      <c r="F464" s="100">
        <f>MAX('Marks Input'!$G$4:$G$37)</f>
        <v>72</v>
      </c>
      <c r="G464" s="101">
        <f>MIN('Marks Input'!$G$4:$G$37)</f>
        <v>40</v>
      </c>
      <c r="H464" s="108">
        <f>'Marks Input'!$G$40</f>
        <v>62.59</v>
      </c>
      <c r="I464" s="76">
        <f>'FM-2'!V16</f>
        <v>32</v>
      </c>
    </row>
    <row r="465" spans="1:9" ht="15" customHeight="1" thickBot="1" x14ac:dyDescent="0.35">
      <c r="A465" s="119" t="str">
        <f>'Marks Input'!$H$2</f>
        <v>English</v>
      </c>
      <c r="B465" s="109">
        <f>'Marks Input'!$H$3</f>
        <v>100</v>
      </c>
      <c r="C465" s="102">
        <f>'FM-2'!L16</f>
        <v>33</v>
      </c>
      <c r="D465" s="110">
        <f>C465/B465</f>
        <v>0.33</v>
      </c>
      <c r="E465" s="79" t="str">
        <f t="shared" ref="E465:E473" si="38">IF(D465&gt;0.899,"A+",IF(D465&gt;0.799,"A",IF(D465&gt;0.699,"B",IF(D465&gt;0.599,"C",IF(D465&gt;0.499,"D",IF(D465&gt;0.399,"E","F"))))))</f>
        <v>F</v>
      </c>
      <c r="F465" s="103">
        <f>MAX('Marks Input'!$H$4:$H$37)</f>
        <v>74</v>
      </c>
      <c r="G465" s="104">
        <f>MIN('Marks Input'!$H$4:$H$37)</f>
        <v>30</v>
      </c>
      <c r="H465" s="111">
        <f>'Marks Input'!$H$40</f>
        <v>43.26</v>
      </c>
      <c r="I465" s="77">
        <f>'FM-2'!W16</f>
        <v>19</v>
      </c>
    </row>
    <row r="466" spans="1:9" ht="15" customHeight="1" thickBot="1" x14ac:dyDescent="0.35">
      <c r="A466" s="119" t="str">
        <f>'Marks Input'!$I$2</f>
        <v>Islamiyat</v>
      </c>
      <c r="B466" s="109">
        <f>'Marks Input'!$I$3</f>
        <v>100</v>
      </c>
      <c r="C466" s="102">
        <f>'FM-2'!M16</f>
        <v>32</v>
      </c>
      <c r="D466" s="110">
        <f t="shared" ref="D466:D471" si="39">C466/B466</f>
        <v>0.32</v>
      </c>
      <c r="E466" s="79" t="str">
        <f t="shared" si="38"/>
        <v>F</v>
      </c>
      <c r="F466" s="103">
        <f>MAX('Marks Input'!$I$4:$I$37)</f>
        <v>88</v>
      </c>
      <c r="G466" s="104">
        <f>MIN('Marks Input'!$I$4:$I$37)</f>
        <v>34</v>
      </c>
      <c r="H466" s="111">
        <f>'Marks Input'!$I$40</f>
        <v>48.29</v>
      </c>
      <c r="I466" s="77">
        <f>'FM-2'!X16</f>
        <v>25</v>
      </c>
    </row>
    <row r="467" spans="1:9" ht="15" customHeight="1" thickBot="1" x14ac:dyDescent="0.35">
      <c r="A467" s="119" t="str">
        <f>'Marks Input'!$J$2</f>
        <v>Pak Studies</v>
      </c>
      <c r="B467" s="109">
        <f>'Marks Input'!$J$3</f>
        <v>100</v>
      </c>
      <c r="C467" s="102">
        <f>'FM-2'!N16</f>
        <v>50</v>
      </c>
      <c r="D467" s="110">
        <f t="shared" si="39"/>
        <v>0.5</v>
      </c>
      <c r="E467" s="79" t="str">
        <f t="shared" si="38"/>
        <v>D</v>
      </c>
      <c r="F467" s="103">
        <f>MAX('Marks Input'!$J$4:$J$37)</f>
        <v>96</v>
      </c>
      <c r="G467" s="104">
        <f>MIN('Marks Input'!$J$4:$J$37)</f>
        <v>34</v>
      </c>
      <c r="H467" s="111">
        <f>'Marks Input'!$J$40</f>
        <v>71.03</v>
      </c>
      <c r="I467" s="77">
        <f>'FM-2'!Y16</f>
        <v>25</v>
      </c>
    </row>
    <row r="468" spans="1:9" ht="15" customHeight="1" thickBot="1" x14ac:dyDescent="0.35">
      <c r="A468" s="119" t="str">
        <f>'Marks Input'!$K$2</f>
        <v>Maths</v>
      </c>
      <c r="B468" s="109">
        <f>'Marks Input'!$K$3</f>
        <v>100</v>
      </c>
      <c r="C468" s="102">
        <f>'FM-2'!O16</f>
        <v>34</v>
      </c>
      <c r="D468" s="110">
        <f t="shared" si="39"/>
        <v>0.34</v>
      </c>
      <c r="E468" s="79" t="str">
        <f t="shared" si="38"/>
        <v>F</v>
      </c>
      <c r="F468" s="103">
        <f>MAX('Marks Input'!$K$4:$K$37)</f>
        <v>94</v>
      </c>
      <c r="G468" s="104">
        <f>MIN('Marks Input'!$K$4:$K$37)</f>
        <v>57</v>
      </c>
      <c r="H468" s="111">
        <f>'Marks Input'!$K$40</f>
        <v>75.819999999999993</v>
      </c>
      <c r="I468" s="77">
        <f>'FM-2'!Z16</f>
        <v>31</v>
      </c>
    </row>
    <row r="469" spans="1:9" ht="15" customHeight="1" thickBot="1" x14ac:dyDescent="0.35">
      <c r="A469" s="119" t="str">
        <f>'Marks Input'!$L$2</f>
        <v>Sci./ Che.</v>
      </c>
      <c r="B469" s="109">
        <f>'Marks Input'!$L$3</f>
        <v>100</v>
      </c>
      <c r="C469" s="102">
        <f>'FM-2'!P16</f>
        <v>44</v>
      </c>
      <c r="D469" s="110">
        <f t="shared" si="39"/>
        <v>0.44</v>
      </c>
      <c r="E469" s="79" t="str">
        <f t="shared" si="38"/>
        <v>E</v>
      </c>
      <c r="F469" s="103">
        <f>MAX('Marks Input'!$L$4:$L$37)</f>
        <v>98</v>
      </c>
      <c r="G469" s="104">
        <f>MIN('Marks Input'!$L$4:$L$37)</f>
        <v>40</v>
      </c>
      <c r="H469" s="111">
        <f>'Marks Input'!$L$40</f>
        <v>61.09</v>
      </c>
      <c r="I469" s="77">
        <f>'FM-2'!AA16</f>
        <v>29</v>
      </c>
    </row>
    <row r="470" spans="1:9" ht="15" customHeight="1" thickBot="1" x14ac:dyDescent="0.35">
      <c r="A470" s="119" t="str">
        <f>'Marks Input'!$M$2</f>
        <v>Nazra</v>
      </c>
      <c r="B470" s="109">
        <f>'Marks Input'!$M$3</f>
        <v>100</v>
      </c>
      <c r="C470" s="102">
        <f>'FM-2'!Q16</f>
        <v>32</v>
      </c>
      <c r="D470" s="110">
        <f t="shared" si="39"/>
        <v>0.32</v>
      </c>
      <c r="E470" s="79" t="str">
        <f t="shared" si="38"/>
        <v>F</v>
      </c>
      <c r="F470" s="103">
        <f>MAX('Marks Input'!$M$4:$M$37)</f>
        <v>94</v>
      </c>
      <c r="G470" s="104">
        <f>MIN('Marks Input'!$M$4:$M$37)</f>
        <v>32</v>
      </c>
      <c r="H470" s="111">
        <f>'Marks Input'!$M$40</f>
        <v>57.79</v>
      </c>
      <c r="I470" s="77">
        <f>'FM-2'!AB16</f>
        <v>34</v>
      </c>
    </row>
    <row r="471" spans="1:9" ht="15" customHeight="1" thickBot="1" x14ac:dyDescent="0.35">
      <c r="A471" s="119" t="str">
        <f>'Marks Input'!$N$2</f>
        <v>Physics</v>
      </c>
      <c r="B471" s="109">
        <f>'Marks Input'!$N$3</f>
        <v>100</v>
      </c>
      <c r="C471" s="102">
        <f>'FM-2'!R16</f>
        <v>73</v>
      </c>
      <c r="D471" s="110">
        <f t="shared" si="39"/>
        <v>0.73</v>
      </c>
      <c r="E471" s="79" t="str">
        <f t="shared" si="38"/>
        <v>B</v>
      </c>
      <c r="F471" s="103">
        <f>MAX('Marks Input'!$N$4:$N$37)</f>
        <v>60</v>
      </c>
      <c r="G471" s="104">
        <f>MIN('Marks Input'!$N$4:$N$37)</f>
        <v>18</v>
      </c>
      <c r="H471" s="111">
        <f>'Marks Input'!$N$40</f>
        <v>42.94</v>
      </c>
      <c r="I471" s="77">
        <f>'FM-2'!AC16</f>
        <v>23</v>
      </c>
    </row>
    <row r="472" spans="1:9" ht="15" customHeight="1" thickBot="1" x14ac:dyDescent="0.35">
      <c r="A472" s="120" t="str">
        <f>'Marks Input'!$O$2</f>
        <v>Bio./Comp.</v>
      </c>
      <c r="B472" s="112">
        <f>'Marks Input'!$O$3</f>
        <v>100</v>
      </c>
      <c r="C472" s="113">
        <f>'FM-2'!S16</f>
        <v>32</v>
      </c>
      <c r="D472" s="114">
        <f>C472/B472</f>
        <v>0.32</v>
      </c>
      <c r="E472" s="80" t="str">
        <f t="shared" si="38"/>
        <v>F</v>
      </c>
      <c r="F472" s="115">
        <f>MAX('Marks Input'!$O$4:$O$37)</f>
        <v>40</v>
      </c>
      <c r="G472" s="116">
        <f>MIN('Marks Input'!$O$4:$O$37)</f>
        <v>14</v>
      </c>
      <c r="H472" s="117">
        <f>'Marks Input'!$O$40</f>
        <v>30.44</v>
      </c>
      <c r="I472" s="78">
        <f>'FM-2'!AD16</f>
        <v>34</v>
      </c>
    </row>
    <row r="473" spans="1:9" ht="21" customHeight="1" thickBot="1" x14ac:dyDescent="0.45">
      <c r="A473" s="69" t="s">
        <v>14</v>
      </c>
      <c r="B473" s="70">
        <f>'Marks Input'!$P$3</f>
        <v>900</v>
      </c>
      <c r="C473" s="71">
        <f>'FM-2'!U16</f>
        <v>374</v>
      </c>
      <c r="D473" s="72">
        <f t="shared" ref="D473" si="40">C473/B473</f>
        <v>0.41555555555555557</v>
      </c>
      <c r="E473" s="73" t="str">
        <f t="shared" si="38"/>
        <v>E</v>
      </c>
      <c r="F473" s="70">
        <f>MAX('Marks Input'!$P$4:$P$37)</f>
        <v>673</v>
      </c>
      <c r="G473" s="71">
        <f>MIN('Marks Input'!$P$4:$P$37)</f>
        <v>322</v>
      </c>
      <c r="H473" s="74">
        <f>'Marks Input'!$P$40</f>
        <v>493.26</v>
      </c>
      <c r="I473" s="75">
        <f>'FM-2'!AF16</f>
        <v>30</v>
      </c>
    </row>
    <row r="474" spans="1:9" ht="21" customHeight="1" thickBot="1" x14ac:dyDescent="0.35">
      <c r="A474" s="196" t="s">
        <v>15</v>
      </c>
      <c r="B474" s="197"/>
      <c r="C474" s="197"/>
      <c r="H474" s="82"/>
      <c r="I474" s="83"/>
    </row>
    <row r="475" spans="1:9" ht="35.1" customHeight="1" x14ac:dyDescent="0.3">
      <c r="A475" s="198" t="str">
        <f>IF(D473&gt;0.399,"Promoted Successfully","Not Promoted")</f>
        <v>Promoted Successfully</v>
      </c>
      <c r="B475" s="199"/>
      <c r="C475" s="199"/>
      <c r="D475" s="199"/>
      <c r="E475" s="199"/>
      <c r="F475" s="199"/>
      <c r="G475" s="199"/>
      <c r="H475" s="199"/>
      <c r="I475" s="200"/>
    </row>
    <row r="476" spans="1:9" ht="35.1" customHeight="1" thickBot="1" x14ac:dyDescent="0.35">
      <c r="A476" s="201"/>
      <c r="B476" s="202"/>
      <c r="C476" s="202"/>
      <c r="D476" s="202"/>
      <c r="E476" s="202"/>
      <c r="F476" s="202"/>
      <c r="G476" s="202"/>
      <c r="H476" s="202"/>
      <c r="I476" s="203"/>
    </row>
    <row r="477" spans="1:9" ht="30" customHeight="1" x14ac:dyDescent="0.3">
      <c r="A477" s="84"/>
      <c r="B477" s="85"/>
      <c r="C477" s="85"/>
      <c r="D477" s="121" t="s">
        <v>140</v>
      </c>
      <c r="E477" s="86"/>
      <c r="F477" s="86"/>
      <c r="G477" s="204"/>
      <c r="H477" s="204"/>
      <c r="I477" s="205"/>
    </row>
    <row r="478" spans="1:9" ht="30" customHeight="1" x14ac:dyDescent="0.3">
      <c r="A478" s="84"/>
      <c r="D478" s="121" t="s">
        <v>16</v>
      </c>
      <c r="E478" s="86"/>
      <c r="F478" s="86"/>
      <c r="G478" s="206"/>
      <c r="H478" s="206"/>
      <c r="I478" s="207"/>
    </row>
    <row r="479" spans="1:9" ht="15" customHeight="1" x14ac:dyDescent="0.3">
      <c r="A479" s="84"/>
      <c r="F479" s="208" t="str">
        <f>A456</f>
        <v>APS Hazro</v>
      </c>
      <c r="G479" s="208"/>
      <c r="H479" s="208"/>
      <c r="I479" s="209"/>
    </row>
    <row r="480" spans="1:9" ht="15" customHeight="1" thickBot="1" x14ac:dyDescent="0.35">
      <c r="A480" s="210"/>
      <c r="B480" s="211"/>
      <c r="C480" s="211"/>
      <c r="D480" s="211"/>
      <c r="E480" s="211"/>
      <c r="F480" s="211"/>
      <c r="G480" s="211"/>
      <c r="H480" s="211"/>
      <c r="I480" s="212"/>
    </row>
    <row r="481" spans="1:9" ht="15" customHeight="1" x14ac:dyDescent="0.3">
      <c r="A481" s="213"/>
      <c r="B481" s="214"/>
      <c r="C481" s="214"/>
      <c r="D481" s="214"/>
      <c r="E481" s="214"/>
      <c r="F481" s="214"/>
      <c r="G481" s="214"/>
      <c r="H481" s="214"/>
      <c r="I481" s="215"/>
    </row>
    <row r="482" spans="1:9" ht="21" customHeight="1" x14ac:dyDescent="0.35">
      <c r="A482" s="87" t="s">
        <v>17</v>
      </c>
      <c r="B482" s="105">
        <f>H460</f>
        <v>14</v>
      </c>
      <c r="C482" s="88"/>
      <c r="D482" s="89" t="s">
        <v>3</v>
      </c>
      <c r="E482" s="89" t="str">
        <f>E460</f>
        <v>7TH</v>
      </c>
      <c r="F482" s="90" t="s">
        <v>18</v>
      </c>
      <c r="G482" s="216" t="str">
        <f>E473</f>
        <v>E</v>
      </c>
      <c r="H482" s="216"/>
      <c r="I482" s="217"/>
    </row>
    <row r="483" spans="1:9" ht="30" customHeight="1" x14ac:dyDescent="0.3">
      <c r="A483" s="176" t="s">
        <v>210</v>
      </c>
      <c r="B483" s="177"/>
      <c r="C483" s="218"/>
      <c r="D483" s="218"/>
      <c r="E483" s="187" t="s">
        <v>19</v>
      </c>
      <c r="F483" s="187"/>
      <c r="G483" s="219">
        <f>'FM-2'!G16</f>
        <v>3005327240</v>
      </c>
      <c r="H483" s="219"/>
      <c r="I483" s="220"/>
    </row>
    <row r="484" spans="1:9" ht="30" customHeight="1" x14ac:dyDescent="0.3">
      <c r="A484" s="176" t="s">
        <v>20</v>
      </c>
      <c r="B484" s="177"/>
      <c r="C484" s="178"/>
      <c r="D484" s="178"/>
      <c r="E484" s="178"/>
      <c r="F484" s="178"/>
      <c r="G484" s="178"/>
      <c r="H484" s="178"/>
      <c r="I484" s="179"/>
    </row>
    <row r="485" spans="1:9" ht="30" customHeight="1" x14ac:dyDescent="0.3">
      <c r="A485" s="180"/>
      <c r="B485" s="181"/>
      <c r="C485" s="181"/>
      <c r="D485" s="181"/>
      <c r="E485" s="181"/>
      <c r="F485" s="181"/>
      <c r="G485" s="181"/>
      <c r="H485" s="181"/>
      <c r="I485" s="182"/>
    </row>
    <row r="486" spans="1:9" ht="21" customHeight="1" x14ac:dyDescent="0.3">
      <c r="A486" s="183"/>
      <c r="B486" s="184"/>
      <c r="C486" s="184"/>
      <c r="D486" s="184"/>
      <c r="E486" s="184"/>
      <c r="F486" s="184"/>
      <c r="G486" s="184"/>
      <c r="H486" s="184"/>
      <c r="I486" s="185"/>
    </row>
    <row r="487" spans="1:9" ht="21" customHeight="1" x14ac:dyDescent="0.3">
      <c r="A487" s="91" t="s">
        <v>207</v>
      </c>
      <c r="B487" s="186">
        <f ca="1">TODAY()</f>
        <v>46315</v>
      </c>
      <c r="C487" s="186"/>
      <c r="D487" s="187" t="s">
        <v>141</v>
      </c>
      <c r="E487" s="187"/>
      <c r="F487" s="187"/>
      <c r="G487" s="188"/>
      <c r="H487" s="188"/>
      <c r="I487" s="189"/>
    </row>
    <row r="488" spans="1:9" ht="21" customHeight="1" x14ac:dyDescent="0.3">
      <c r="A488" s="190" t="s">
        <v>211</v>
      </c>
      <c r="B488" s="191"/>
      <c r="C488" s="191"/>
      <c r="D488" s="191"/>
      <c r="E488" s="191"/>
      <c r="F488" s="191"/>
      <c r="G488" s="191"/>
      <c r="H488" s="191"/>
      <c r="I488" s="192"/>
    </row>
    <row r="489" spans="1:9" ht="15" customHeight="1" x14ac:dyDescent="0.3">
      <c r="A489" s="190"/>
      <c r="B489" s="191"/>
      <c r="C489" s="191"/>
      <c r="D489" s="191"/>
      <c r="E489" s="191"/>
      <c r="F489" s="191"/>
      <c r="G489" s="191"/>
      <c r="H489" s="191"/>
      <c r="I489" s="192"/>
    </row>
    <row r="490" spans="1:9" ht="15" thickBot="1" x14ac:dyDescent="0.35">
      <c r="A490" s="193"/>
      <c r="B490" s="194"/>
      <c r="C490" s="194"/>
      <c r="D490" s="194"/>
      <c r="E490" s="194"/>
      <c r="F490" s="194"/>
      <c r="G490" s="194"/>
      <c r="H490" s="194"/>
      <c r="I490" s="195"/>
    </row>
    <row r="491" spans="1:9" ht="41.1" customHeight="1" thickBot="1" x14ac:dyDescent="0.35">
      <c r="A491" s="240" t="str">
        <f>'FM-2'!$I$3</f>
        <v>APS Hazro</v>
      </c>
      <c r="B491" s="241"/>
      <c r="C491" s="241"/>
      <c r="D491" s="241"/>
      <c r="E491" s="241"/>
      <c r="F491" s="241"/>
      <c r="G491" s="241"/>
      <c r="H491" s="241"/>
      <c r="I491" s="242"/>
    </row>
    <row r="492" spans="1:9" ht="21" customHeight="1" thickBot="1" x14ac:dyDescent="0.4">
      <c r="A492" s="129" t="str">
        <f>'FM-2'!$J$3</f>
        <v>ANNUAL EXAM 2024</v>
      </c>
      <c r="B492" s="67"/>
      <c r="C492" s="67"/>
      <c r="D492" s="67"/>
      <c r="E492" s="67"/>
      <c r="F492" s="67"/>
      <c r="G492" s="67"/>
      <c r="H492" s="67"/>
      <c r="I492" s="68"/>
    </row>
    <row r="493" spans="1:9" ht="21" customHeight="1" x14ac:dyDescent="0.35">
      <c r="A493" s="122"/>
      <c r="B493" s="123"/>
      <c r="C493" s="123"/>
      <c r="D493" s="123"/>
      <c r="E493" s="123"/>
      <c r="F493" s="123"/>
      <c r="G493" s="123"/>
      <c r="H493" s="123"/>
      <c r="I493" s="124"/>
    </row>
    <row r="494" spans="1:9" ht="21" customHeight="1" x14ac:dyDescent="0.3">
      <c r="A494" s="221" t="s">
        <v>0</v>
      </c>
      <c r="B494" s="222"/>
      <c r="C494" s="98" t="str">
        <f>'FM-2'!E17</f>
        <v>Ali15</v>
      </c>
      <c r="D494" s="98"/>
      <c r="E494" s="98"/>
      <c r="F494" s="222" t="s">
        <v>1</v>
      </c>
      <c r="G494" s="222"/>
      <c r="H494" s="223" t="str">
        <f>'FM-2'!F17</f>
        <v>Khan 15</v>
      </c>
      <c r="I494" s="224"/>
    </row>
    <row r="495" spans="1:9" ht="21" customHeight="1" x14ac:dyDescent="0.3">
      <c r="A495" s="221" t="s">
        <v>2</v>
      </c>
      <c r="B495" s="222"/>
      <c r="C495" s="92">
        <f>'FM-2'!C17</f>
        <v>1014</v>
      </c>
      <c r="D495" s="93" t="s">
        <v>3</v>
      </c>
      <c r="E495" s="92" t="str">
        <f>'FM-2'!$B$3</f>
        <v>7TH</v>
      </c>
      <c r="F495" s="222" t="s">
        <v>4</v>
      </c>
      <c r="G495" s="222"/>
      <c r="H495" s="225">
        <f>'FM-2'!D17</f>
        <v>15</v>
      </c>
      <c r="I495" s="226"/>
    </row>
    <row r="496" spans="1:9" ht="21" customHeight="1" thickBot="1" x14ac:dyDescent="0.35">
      <c r="A496" s="227" t="s">
        <v>206</v>
      </c>
      <c r="B496" s="228"/>
      <c r="C496" s="94">
        <f>COUNTIF('Marks Input'!$B$4:$B$63,"&gt;0")</f>
        <v>34</v>
      </c>
      <c r="D496" s="93"/>
      <c r="E496" s="95"/>
      <c r="F496" s="93"/>
      <c r="G496" s="93"/>
      <c r="H496" s="96"/>
      <c r="I496" s="97"/>
    </row>
    <row r="497" spans="1:9" ht="15.75" customHeight="1" thickBot="1" x14ac:dyDescent="0.35">
      <c r="A497" s="229" t="s">
        <v>5</v>
      </c>
      <c r="B497" s="231" t="s">
        <v>6</v>
      </c>
      <c r="C497" s="233" t="s">
        <v>7</v>
      </c>
      <c r="D497" s="235" t="s">
        <v>209</v>
      </c>
      <c r="E497" s="229" t="s">
        <v>8</v>
      </c>
      <c r="F497" s="237" t="s">
        <v>9</v>
      </c>
      <c r="G497" s="238"/>
      <c r="H497" s="238"/>
      <c r="I497" s="239"/>
    </row>
    <row r="498" spans="1:9" ht="30" customHeight="1" thickBot="1" x14ac:dyDescent="0.35">
      <c r="A498" s="230"/>
      <c r="B498" s="232"/>
      <c r="C498" s="234"/>
      <c r="D498" s="236"/>
      <c r="E498" s="230"/>
      <c r="F498" s="125" t="s">
        <v>10</v>
      </c>
      <c r="G498" s="126" t="s">
        <v>11</v>
      </c>
      <c r="H498" s="127" t="s">
        <v>12</v>
      </c>
      <c r="I498" s="128" t="s">
        <v>208</v>
      </c>
    </row>
    <row r="499" spans="1:9" ht="15" customHeight="1" thickBot="1" x14ac:dyDescent="0.35">
      <c r="A499" s="118" t="str">
        <f>'Marks Input'!$G$2</f>
        <v>Urdu</v>
      </c>
      <c r="B499" s="106">
        <f>'Marks Input'!$G$3</f>
        <v>100</v>
      </c>
      <c r="C499" s="99">
        <f>'FM-2'!K17</f>
        <v>61</v>
      </c>
      <c r="D499" s="107">
        <f>C499/B499</f>
        <v>0.61</v>
      </c>
      <c r="E499" s="79" t="str">
        <f>IF(D499&gt;0.899,"A+",IF(D499&gt;0.799,"A",IF(D499&gt;0.699,"B",IF(D499&gt;0.599,"C",IF(D499&gt;0.499,"D",IF(D499&gt;0.399,"E","F"))))))</f>
        <v>C</v>
      </c>
      <c r="F499" s="100">
        <f>MAX('Marks Input'!$G$4:$G$37)</f>
        <v>72</v>
      </c>
      <c r="G499" s="101">
        <f>MIN('Marks Input'!$G$4:$G$37)</f>
        <v>40</v>
      </c>
      <c r="H499" s="108">
        <f>'Marks Input'!$G$40</f>
        <v>62.59</v>
      </c>
      <c r="I499" s="76">
        <f>'FM-2'!V17</f>
        <v>26</v>
      </c>
    </row>
    <row r="500" spans="1:9" ht="15" customHeight="1" thickBot="1" x14ac:dyDescent="0.35">
      <c r="A500" s="119" t="str">
        <f>'Marks Input'!$H$2</f>
        <v>English</v>
      </c>
      <c r="B500" s="109">
        <f>'Marks Input'!$H$3</f>
        <v>100</v>
      </c>
      <c r="C500" s="102">
        <f>'FM-2'!L17</f>
        <v>33</v>
      </c>
      <c r="D500" s="110">
        <f>C500/B500</f>
        <v>0.33</v>
      </c>
      <c r="E500" s="79" t="str">
        <f t="shared" ref="E500:E508" si="41">IF(D500&gt;0.899,"A+",IF(D500&gt;0.799,"A",IF(D500&gt;0.699,"B",IF(D500&gt;0.599,"C",IF(D500&gt;0.499,"D",IF(D500&gt;0.399,"E","F"))))))</f>
        <v>F</v>
      </c>
      <c r="F500" s="103">
        <f>MAX('Marks Input'!$H$4:$H$37)</f>
        <v>74</v>
      </c>
      <c r="G500" s="104">
        <f>MIN('Marks Input'!$H$4:$H$37)</f>
        <v>30</v>
      </c>
      <c r="H500" s="111">
        <f>'Marks Input'!$H$40</f>
        <v>43.26</v>
      </c>
      <c r="I500" s="77">
        <f>'FM-2'!W17</f>
        <v>19</v>
      </c>
    </row>
    <row r="501" spans="1:9" ht="15" customHeight="1" thickBot="1" x14ac:dyDescent="0.35">
      <c r="A501" s="119" t="str">
        <f>'Marks Input'!$I$2</f>
        <v>Islamiyat</v>
      </c>
      <c r="B501" s="109">
        <f>'Marks Input'!$I$3</f>
        <v>100</v>
      </c>
      <c r="C501" s="102">
        <f>'FM-2'!M17</f>
        <v>19</v>
      </c>
      <c r="D501" s="110">
        <f t="shared" ref="D501:D506" si="42">C501/B501</f>
        <v>0.19</v>
      </c>
      <c r="E501" s="79" t="str">
        <f t="shared" si="41"/>
        <v>F</v>
      </c>
      <c r="F501" s="103">
        <f>MAX('Marks Input'!$I$4:$I$37)</f>
        <v>88</v>
      </c>
      <c r="G501" s="104">
        <f>MIN('Marks Input'!$I$4:$I$37)</f>
        <v>34</v>
      </c>
      <c r="H501" s="111">
        <f>'Marks Input'!$I$40</f>
        <v>48.29</v>
      </c>
      <c r="I501" s="77">
        <f>'FM-2'!X17</f>
        <v>32</v>
      </c>
    </row>
    <row r="502" spans="1:9" ht="15" customHeight="1" thickBot="1" x14ac:dyDescent="0.35">
      <c r="A502" s="119" t="str">
        <f>'Marks Input'!$J$2</f>
        <v>Pak Studies</v>
      </c>
      <c r="B502" s="109">
        <f>'Marks Input'!$J$3</f>
        <v>100</v>
      </c>
      <c r="C502" s="102">
        <f>'FM-2'!N17</f>
        <v>52</v>
      </c>
      <c r="D502" s="110">
        <f t="shared" si="42"/>
        <v>0.52</v>
      </c>
      <c r="E502" s="79" t="str">
        <f t="shared" si="41"/>
        <v>D</v>
      </c>
      <c r="F502" s="103">
        <f>MAX('Marks Input'!$J$4:$J$37)</f>
        <v>96</v>
      </c>
      <c r="G502" s="104">
        <f>MIN('Marks Input'!$J$4:$J$37)</f>
        <v>34</v>
      </c>
      <c r="H502" s="111">
        <f>'Marks Input'!$J$40</f>
        <v>71.03</v>
      </c>
      <c r="I502" s="77">
        <f>'FM-2'!Y17</f>
        <v>23</v>
      </c>
    </row>
    <row r="503" spans="1:9" ht="15" customHeight="1" thickBot="1" x14ac:dyDescent="0.35">
      <c r="A503" s="119" t="str">
        <f>'Marks Input'!$K$2</f>
        <v>Maths</v>
      </c>
      <c r="B503" s="109">
        <f>'Marks Input'!$K$3</f>
        <v>100</v>
      </c>
      <c r="C503" s="102">
        <f>'FM-2'!O17</f>
        <v>36</v>
      </c>
      <c r="D503" s="110">
        <f t="shared" si="42"/>
        <v>0.36</v>
      </c>
      <c r="E503" s="79" t="str">
        <f t="shared" si="41"/>
        <v>F</v>
      </c>
      <c r="F503" s="103">
        <f>MAX('Marks Input'!$K$4:$K$37)</f>
        <v>94</v>
      </c>
      <c r="G503" s="104">
        <f>MIN('Marks Input'!$K$4:$K$37)</f>
        <v>57</v>
      </c>
      <c r="H503" s="111">
        <f>'Marks Input'!$K$40</f>
        <v>75.819999999999993</v>
      </c>
      <c r="I503" s="77">
        <f>'FM-2'!Z17</f>
        <v>27</v>
      </c>
    </row>
    <row r="504" spans="1:9" ht="15" customHeight="1" thickBot="1" x14ac:dyDescent="0.35">
      <c r="A504" s="119" t="str">
        <f>'Marks Input'!$L$2</f>
        <v>Sci./ Che.</v>
      </c>
      <c r="B504" s="109">
        <f>'Marks Input'!$L$3</f>
        <v>100</v>
      </c>
      <c r="C504" s="102">
        <f>'FM-2'!P17</f>
        <v>70</v>
      </c>
      <c r="D504" s="110">
        <f t="shared" si="42"/>
        <v>0.7</v>
      </c>
      <c r="E504" s="79" t="str">
        <f t="shared" si="41"/>
        <v>B</v>
      </c>
      <c r="F504" s="103">
        <f>MAX('Marks Input'!$L$4:$L$37)</f>
        <v>98</v>
      </c>
      <c r="G504" s="104">
        <f>MIN('Marks Input'!$L$4:$L$37)</f>
        <v>40</v>
      </c>
      <c r="H504" s="111">
        <f>'Marks Input'!$L$40</f>
        <v>61.09</v>
      </c>
      <c r="I504" s="77">
        <f>'FM-2'!AA17</f>
        <v>19</v>
      </c>
    </row>
    <row r="505" spans="1:9" ht="15" customHeight="1" thickBot="1" x14ac:dyDescent="0.35">
      <c r="A505" s="119" t="str">
        <f>'Marks Input'!$M$2</f>
        <v>Nazra</v>
      </c>
      <c r="B505" s="109">
        <f>'Marks Input'!$M$3</f>
        <v>100</v>
      </c>
      <c r="C505" s="102">
        <f>'FM-2'!Q17</f>
        <v>47</v>
      </c>
      <c r="D505" s="110">
        <f t="shared" si="42"/>
        <v>0.47</v>
      </c>
      <c r="E505" s="79" t="str">
        <f t="shared" si="41"/>
        <v>E</v>
      </c>
      <c r="F505" s="103">
        <f>MAX('Marks Input'!$M$4:$M$37)</f>
        <v>94</v>
      </c>
      <c r="G505" s="104">
        <f>MIN('Marks Input'!$M$4:$M$37)</f>
        <v>32</v>
      </c>
      <c r="H505" s="111">
        <f>'Marks Input'!$M$40</f>
        <v>57.79</v>
      </c>
      <c r="I505" s="77">
        <f>'FM-2'!AB17</f>
        <v>24</v>
      </c>
    </row>
    <row r="506" spans="1:9" ht="15" customHeight="1" thickBot="1" x14ac:dyDescent="0.35">
      <c r="A506" s="119" t="str">
        <f>'Marks Input'!$N$2</f>
        <v>Physics</v>
      </c>
      <c r="B506" s="109">
        <f>'Marks Input'!$N$3</f>
        <v>100</v>
      </c>
      <c r="C506" s="102">
        <f>'FM-2'!R17</f>
        <v>73</v>
      </c>
      <c r="D506" s="110">
        <f t="shared" si="42"/>
        <v>0.73</v>
      </c>
      <c r="E506" s="79" t="str">
        <f t="shared" si="41"/>
        <v>B</v>
      </c>
      <c r="F506" s="103">
        <f>MAX('Marks Input'!$N$4:$N$37)</f>
        <v>60</v>
      </c>
      <c r="G506" s="104">
        <f>MIN('Marks Input'!$N$4:$N$37)</f>
        <v>18</v>
      </c>
      <c r="H506" s="111">
        <f>'Marks Input'!$N$40</f>
        <v>42.94</v>
      </c>
      <c r="I506" s="77">
        <f>'FM-2'!AC17</f>
        <v>23</v>
      </c>
    </row>
    <row r="507" spans="1:9" ht="15" customHeight="1" thickBot="1" x14ac:dyDescent="0.35">
      <c r="A507" s="120" t="str">
        <f>'Marks Input'!$O$2</f>
        <v>Bio./Comp.</v>
      </c>
      <c r="B507" s="112">
        <f>'Marks Input'!$O$3</f>
        <v>100</v>
      </c>
      <c r="C507" s="113">
        <f>'FM-2'!S17</f>
        <v>47</v>
      </c>
      <c r="D507" s="114">
        <f>C507/B507</f>
        <v>0.47</v>
      </c>
      <c r="E507" s="80" t="str">
        <f t="shared" si="41"/>
        <v>E</v>
      </c>
      <c r="F507" s="115">
        <f>MAX('Marks Input'!$O$4:$O$37)</f>
        <v>40</v>
      </c>
      <c r="G507" s="116">
        <f>MIN('Marks Input'!$O$4:$O$37)</f>
        <v>14</v>
      </c>
      <c r="H507" s="117">
        <f>'Marks Input'!$O$40</f>
        <v>30.44</v>
      </c>
      <c r="I507" s="78">
        <f>'FM-2'!AD17</f>
        <v>24</v>
      </c>
    </row>
    <row r="508" spans="1:9" ht="21" customHeight="1" thickBot="1" x14ac:dyDescent="0.45">
      <c r="A508" s="69" t="s">
        <v>14</v>
      </c>
      <c r="B508" s="70">
        <f>'Marks Input'!$P$3</f>
        <v>900</v>
      </c>
      <c r="C508" s="71">
        <f>'FM-2'!U17</f>
        <v>421</v>
      </c>
      <c r="D508" s="72">
        <f t="shared" ref="D508" si="43">C508/B508</f>
        <v>0.46777777777777779</v>
      </c>
      <c r="E508" s="73" t="str">
        <f t="shared" si="41"/>
        <v>E</v>
      </c>
      <c r="F508" s="70">
        <f>MAX('Marks Input'!$P$4:$P$37)</f>
        <v>673</v>
      </c>
      <c r="G508" s="71">
        <f>MIN('Marks Input'!$P$4:$P$37)</f>
        <v>322</v>
      </c>
      <c r="H508" s="74">
        <f>'Marks Input'!$P$40</f>
        <v>493.26</v>
      </c>
      <c r="I508" s="75">
        <f>'FM-2'!AF17</f>
        <v>25</v>
      </c>
    </row>
    <row r="509" spans="1:9" ht="21" customHeight="1" thickBot="1" x14ac:dyDescent="0.35">
      <c r="A509" s="196" t="s">
        <v>15</v>
      </c>
      <c r="B509" s="197"/>
      <c r="C509" s="197"/>
      <c r="H509" s="82"/>
      <c r="I509" s="83"/>
    </row>
    <row r="510" spans="1:9" ht="35.1" customHeight="1" x14ac:dyDescent="0.3">
      <c r="A510" s="198" t="str">
        <f>IF(D508&gt;0.399,"Promoted Successfully","Not Promoted")</f>
        <v>Promoted Successfully</v>
      </c>
      <c r="B510" s="199"/>
      <c r="C510" s="199"/>
      <c r="D510" s="199"/>
      <c r="E510" s="199"/>
      <c r="F510" s="199"/>
      <c r="G510" s="199"/>
      <c r="H510" s="199"/>
      <c r="I510" s="200"/>
    </row>
    <row r="511" spans="1:9" ht="35.1" customHeight="1" thickBot="1" x14ac:dyDescent="0.35">
      <c r="A511" s="201"/>
      <c r="B511" s="202"/>
      <c r="C511" s="202"/>
      <c r="D511" s="202"/>
      <c r="E511" s="202"/>
      <c r="F511" s="202"/>
      <c r="G511" s="202"/>
      <c r="H511" s="202"/>
      <c r="I511" s="203"/>
    </row>
    <row r="512" spans="1:9" ht="30" customHeight="1" x14ac:dyDescent="0.3">
      <c r="A512" s="84"/>
      <c r="B512" s="85"/>
      <c r="C512" s="85"/>
      <c r="D512" s="121" t="s">
        <v>140</v>
      </c>
      <c r="E512" s="86"/>
      <c r="F512" s="86"/>
      <c r="G512" s="204"/>
      <c r="H512" s="204"/>
      <c r="I512" s="205"/>
    </row>
    <row r="513" spans="1:9" ht="30" customHeight="1" x14ac:dyDescent="0.3">
      <c r="A513" s="84"/>
      <c r="D513" s="121" t="s">
        <v>16</v>
      </c>
      <c r="E513" s="86"/>
      <c r="F513" s="86"/>
      <c r="G513" s="206"/>
      <c r="H513" s="206"/>
      <c r="I513" s="207"/>
    </row>
    <row r="514" spans="1:9" ht="15" customHeight="1" x14ac:dyDescent="0.3">
      <c r="A514" s="84"/>
      <c r="F514" s="208" t="str">
        <f>A491</f>
        <v>APS Hazro</v>
      </c>
      <c r="G514" s="208"/>
      <c r="H514" s="208"/>
      <c r="I514" s="209"/>
    </row>
    <row r="515" spans="1:9" ht="15" customHeight="1" thickBot="1" x14ac:dyDescent="0.35">
      <c r="A515" s="210"/>
      <c r="B515" s="211"/>
      <c r="C515" s="211"/>
      <c r="D515" s="211"/>
      <c r="E515" s="211"/>
      <c r="F515" s="211"/>
      <c r="G515" s="211"/>
      <c r="H515" s="211"/>
      <c r="I515" s="212"/>
    </row>
    <row r="516" spans="1:9" ht="15" customHeight="1" x14ac:dyDescent="0.3">
      <c r="A516" s="213"/>
      <c r="B516" s="214"/>
      <c r="C516" s="214"/>
      <c r="D516" s="214"/>
      <c r="E516" s="214"/>
      <c r="F516" s="214"/>
      <c r="G516" s="214"/>
      <c r="H516" s="214"/>
      <c r="I516" s="215"/>
    </row>
    <row r="517" spans="1:9" ht="21" customHeight="1" x14ac:dyDescent="0.35">
      <c r="A517" s="87" t="s">
        <v>17</v>
      </c>
      <c r="B517" s="105">
        <f>H495</f>
        <v>15</v>
      </c>
      <c r="C517" s="88"/>
      <c r="D517" s="89" t="s">
        <v>3</v>
      </c>
      <c r="E517" s="89" t="str">
        <f>E495</f>
        <v>7TH</v>
      </c>
      <c r="F517" s="90" t="s">
        <v>18</v>
      </c>
      <c r="G517" s="216" t="str">
        <f>E508</f>
        <v>E</v>
      </c>
      <c r="H517" s="216"/>
      <c r="I517" s="217"/>
    </row>
    <row r="518" spans="1:9" ht="30" customHeight="1" x14ac:dyDescent="0.3">
      <c r="A518" s="176" t="s">
        <v>210</v>
      </c>
      <c r="B518" s="177"/>
      <c r="C518" s="218"/>
      <c r="D518" s="218"/>
      <c r="E518" s="187" t="s">
        <v>19</v>
      </c>
      <c r="F518" s="187"/>
      <c r="G518" s="219">
        <f>'FM-2'!G17</f>
        <v>3005327281</v>
      </c>
      <c r="H518" s="219"/>
      <c r="I518" s="220"/>
    </row>
    <row r="519" spans="1:9" ht="30" customHeight="1" x14ac:dyDescent="0.3">
      <c r="A519" s="176" t="s">
        <v>20</v>
      </c>
      <c r="B519" s="177"/>
      <c r="C519" s="178"/>
      <c r="D519" s="178"/>
      <c r="E519" s="178"/>
      <c r="F519" s="178"/>
      <c r="G519" s="178"/>
      <c r="H519" s="178"/>
      <c r="I519" s="179"/>
    </row>
    <row r="520" spans="1:9" ht="30" customHeight="1" x14ac:dyDescent="0.3">
      <c r="A520" s="180"/>
      <c r="B520" s="181"/>
      <c r="C520" s="181"/>
      <c r="D520" s="181"/>
      <c r="E520" s="181"/>
      <c r="F520" s="181"/>
      <c r="G520" s="181"/>
      <c r="H520" s="181"/>
      <c r="I520" s="182"/>
    </row>
    <row r="521" spans="1:9" ht="21" customHeight="1" x14ac:dyDescent="0.3">
      <c r="A521" s="183"/>
      <c r="B521" s="184"/>
      <c r="C521" s="184"/>
      <c r="D521" s="184"/>
      <c r="E521" s="184"/>
      <c r="F521" s="184"/>
      <c r="G521" s="184"/>
      <c r="H521" s="184"/>
      <c r="I521" s="185"/>
    </row>
    <row r="522" spans="1:9" ht="21" customHeight="1" x14ac:dyDescent="0.3">
      <c r="A522" s="91" t="s">
        <v>207</v>
      </c>
      <c r="B522" s="186">
        <f ca="1">TODAY()</f>
        <v>46315</v>
      </c>
      <c r="C522" s="186"/>
      <c r="D522" s="187" t="s">
        <v>141</v>
      </c>
      <c r="E522" s="187"/>
      <c r="F522" s="187"/>
      <c r="G522" s="188"/>
      <c r="H522" s="188"/>
      <c r="I522" s="189"/>
    </row>
    <row r="523" spans="1:9" ht="21" customHeight="1" x14ac:dyDescent="0.3">
      <c r="A523" s="190" t="s">
        <v>211</v>
      </c>
      <c r="B523" s="191"/>
      <c r="C523" s="191"/>
      <c r="D523" s="191"/>
      <c r="E523" s="191"/>
      <c r="F523" s="191"/>
      <c r="G523" s="191"/>
      <c r="H523" s="191"/>
      <c r="I523" s="192"/>
    </row>
    <row r="524" spans="1:9" ht="15" customHeight="1" x14ac:dyDescent="0.3">
      <c r="A524" s="190"/>
      <c r="B524" s="191"/>
      <c r="C524" s="191"/>
      <c r="D524" s="191"/>
      <c r="E524" s="191"/>
      <c r="F524" s="191"/>
      <c r="G524" s="191"/>
      <c r="H524" s="191"/>
      <c r="I524" s="192"/>
    </row>
    <row r="525" spans="1:9" ht="15" thickBot="1" x14ac:dyDescent="0.35">
      <c r="A525" s="193"/>
      <c r="B525" s="194"/>
      <c r="C525" s="194"/>
      <c r="D525" s="194"/>
      <c r="E525" s="194"/>
      <c r="F525" s="194"/>
      <c r="G525" s="194"/>
      <c r="H525" s="194"/>
      <c r="I525" s="195"/>
    </row>
    <row r="526" spans="1:9" ht="41.1" customHeight="1" thickBot="1" x14ac:dyDescent="0.35">
      <c r="A526" s="240" t="str">
        <f>'FM-2'!$I$3</f>
        <v>APS Hazro</v>
      </c>
      <c r="B526" s="241"/>
      <c r="C526" s="241"/>
      <c r="D526" s="241"/>
      <c r="E526" s="241"/>
      <c r="F526" s="241"/>
      <c r="G526" s="241"/>
      <c r="H526" s="241"/>
      <c r="I526" s="242"/>
    </row>
    <row r="527" spans="1:9" ht="21" customHeight="1" thickBot="1" x14ac:dyDescent="0.35">
      <c r="A527" s="249" t="str">
        <f>'FM-2'!$J$3</f>
        <v>ANNUAL EXAM 2024</v>
      </c>
      <c r="B527" s="250"/>
      <c r="C527" s="250"/>
      <c r="D527" s="250"/>
      <c r="E527" s="250"/>
      <c r="F527" s="250"/>
      <c r="G527" s="250"/>
      <c r="H527" s="250"/>
      <c r="I527" s="251"/>
    </row>
    <row r="528" spans="1:9" ht="21" customHeight="1" x14ac:dyDescent="0.35">
      <c r="A528" s="130"/>
      <c r="B528" s="131"/>
      <c r="C528" s="131"/>
      <c r="D528" s="131"/>
      <c r="E528" s="131"/>
      <c r="F528" s="131"/>
      <c r="G528" s="131"/>
      <c r="H528" s="131"/>
      <c r="I528" s="132"/>
    </row>
    <row r="529" spans="1:9" ht="21" customHeight="1" x14ac:dyDescent="0.3">
      <c r="A529" s="221" t="s">
        <v>0</v>
      </c>
      <c r="B529" s="222"/>
      <c r="C529" s="92" t="str">
        <f>'FM-2'!E18</f>
        <v>Ali16</v>
      </c>
      <c r="D529" s="92"/>
      <c r="E529" s="92"/>
      <c r="F529" s="222" t="s">
        <v>1</v>
      </c>
      <c r="G529" s="222"/>
      <c r="H529" s="223" t="str">
        <f>'FM-2'!F18</f>
        <v>Khan 16</v>
      </c>
      <c r="I529" s="224"/>
    </row>
    <row r="530" spans="1:9" ht="21" customHeight="1" x14ac:dyDescent="0.3">
      <c r="A530" s="221" t="s">
        <v>2</v>
      </c>
      <c r="B530" s="222"/>
      <c r="C530" s="92">
        <f>'FM-2'!C18</f>
        <v>1015</v>
      </c>
      <c r="D530" s="93" t="s">
        <v>3</v>
      </c>
      <c r="E530" s="92" t="str">
        <f>'FM-2'!$B$3</f>
        <v>7TH</v>
      </c>
      <c r="F530" s="222" t="s">
        <v>4</v>
      </c>
      <c r="G530" s="222"/>
      <c r="H530" s="225">
        <f>'FM-2'!D18</f>
        <v>16</v>
      </c>
      <c r="I530" s="226"/>
    </row>
    <row r="531" spans="1:9" ht="21" customHeight="1" thickBot="1" x14ac:dyDescent="0.35">
      <c r="A531" s="227" t="s">
        <v>206</v>
      </c>
      <c r="B531" s="228"/>
      <c r="C531" s="94">
        <f>COUNTIF('Marks Input'!$B$4:$B$63,"&gt;0")</f>
        <v>34</v>
      </c>
      <c r="D531" s="93"/>
      <c r="E531" s="95"/>
      <c r="F531" s="93"/>
      <c r="G531" s="93"/>
      <c r="H531" s="96"/>
      <c r="I531" s="97"/>
    </row>
    <row r="532" spans="1:9" ht="15.75" customHeight="1" thickBot="1" x14ac:dyDescent="0.35">
      <c r="A532" s="229" t="s">
        <v>5</v>
      </c>
      <c r="B532" s="243" t="s">
        <v>6</v>
      </c>
      <c r="C532" s="233" t="s">
        <v>7</v>
      </c>
      <c r="D532" s="245" t="s">
        <v>209</v>
      </c>
      <c r="E532" s="229" t="s">
        <v>8</v>
      </c>
      <c r="F532" s="247" t="s">
        <v>9</v>
      </c>
      <c r="G532" s="248"/>
      <c r="H532" s="248"/>
      <c r="I532" s="239"/>
    </row>
    <row r="533" spans="1:9" ht="30" customHeight="1" thickBot="1" x14ac:dyDescent="0.35">
      <c r="A533" s="230"/>
      <c r="B533" s="244"/>
      <c r="C533" s="234"/>
      <c r="D533" s="246"/>
      <c r="E533" s="230"/>
      <c r="F533" s="125" t="s">
        <v>10</v>
      </c>
      <c r="G533" s="126" t="s">
        <v>11</v>
      </c>
      <c r="H533" s="127" t="s">
        <v>12</v>
      </c>
      <c r="I533" s="128" t="s">
        <v>208</v>
      </c>
    </row>
    <row r="534" spans="1:9" ht="15" customHeight="1" thickBot="1" x14ac:dyDescent="0.35">
      <c r="A534" s="118" t="str">
        <f>'Marks Input'!$G$2</f>
        <v>Urdu</v>
      </c>
      <c r="B534" s="106">
        <f>'Marks Input'!$G$3</f>
        <v>100</v>
      </c>
      <c r="C534" s="99">
        <f>'FM-2'!K18</f>
        <v>64</v>
      </c>
      <c r="D534" s="107">
        <f>C534/B534</f>
        <v>0.64</v>
      </c>
      <c r="E534" s="79" t="str">
        <f>IF(D534&gt;0.899,"A+",IF(D534&gt;0.799,"A",IF(D534&gt;0.699,"B",IF(D534&gt;0.599,"C",IF(D534&gt;0.499,"D",IF(D534&gt;0.399,"E","F"))))))</f>
        <v>C</v>
      </c>
      <c r="F534" s="100">
        <f>MAX('Marks Input'!$G$4:$G$37)</f>
        <v>72</v>
      </c>
      <c r="G534" s="101">
        <f>MIN('Marks Input'!$G$4:$G$37)</f>
        <v>40</v>
      </c>
      <c r="H534" s="108">
        <f>'Marks Input'!$G$40</f>
        <v>62.59</v>
      </c>
      <c r="I534" s="76">
        <f>'FM-2'!V18</f>
        <v>18</v>
      </c>
    </row>
    <row r="535" spans="1:9" ht="15" customHeight="1" thickBot="1" x14ac:dyDescent="0.35">
      <c r="A535" s="119" t="str">
        <f>'Marks Input'!$H$2</f>
        <v>English</v>
      </c>
      <c r="B535" s="109">
        <f>'Marks Input'!$H$3</f>
        <v>100</v>
      </c>
      <c r="C535" s="102">
        <f>'FM-2'!L18</f>
        <v>52</v>
      </c>
      <c r="D535" s="110">
        <f>C535/B535</f>
        <v>0.52</v>
      </c>
      <c r="E535" s="79" t="str">
        <f t="shared" ref="E535:E543" si="44">IF(D535&gt;0.899,"A+",IF(D535&gt;0.799,"A",IF(D535&gt;0.699,"B",IF(D535&gt;0.599,"C",IF(D535&gt;0.499,"D",IF(D535&gt;0.399,"E","F"))))))</f>
        <v>D</v>
      </c>
      <c r="F535" s="103">
        <f>MAX('Marks Input'!$H$4:$H$37)</f>
        <v>74</v>
      </c>
      <c r="G535" s="104">
        <f>MIN('Marks Input'!$H$4:$H$37)</f>
        <v>30</v>
      </c>
      <c r="H535" s="111">
        <f>'Marks Input'!$H$40</f>
        <v>43.26</v>
      </c>
      <c r="I535" s="77">
        <f>'FM-2'!W18</f>
        <v>10</v>
      </c>
    </row>
    <row r="536" spans="1:9" ht="15" customHeight="1" thickBot="1" x14ac:dyDescent="0.35">
      <c r="A536" s="119" t="str">
        <f>'Marks Input'!$I$2</f>
        <v>Islamiyat</v>
      </c>
      <c r="B536" s="109">
        <f>'Marks Input'!$I$3</f>
        <v>100</v>
      </c>
      <c r="C536" s="102">
        <f>'FM-2'!M18</f>
        <v>44</v>
      </c>
      <c r="D536" s="110">
        <f t="shared" ref="D536:D541" si="45">C536/B536</f>
        <v>0.44</v>
      </c>
      <c r="E536" s="79" t="str">
        <f t="shared" si="44"/>
        <v>E</v>
      </c>
      <c r="F536" s="103">
        <f>MAX('Marks Input'!$I$4:$I$37)</f>
        <v>88</v>
      </c>
      <c r="G536" s="104">
        <f>MIN('Marks Input'!$I$4:$I$37)</f>
        <v>34</v>
      </c>
      <c r="H536" s="111">
        <f>'Marks Input'!$I$40</f>
        <v>48.29</v>
      </c>
      <c r="I536" s="77">
        <f>'FM-2'!X18</f>
        <v>19</v>
      </c>
    </row>
    <row r="537" spans="1:9" ht="15" customHeight="1" thickBot="1" x14ac:dyDescent="0.35">
      <c r="A537" s="119" t="str">
        <f>'Marks Input'!$J$2</f>
        <v>Pak Studies</v>
      </c>
      <c r="B537" s="109">
        <f>'Marks Input'!$J$3</f>
        <v>100</v>
      </c>
      <c r="C537" s="102">
        <f>'FM-2'!N18</f>
        <v>78</v>
      </c>
      <c r="D537" s="110">
        <f t="shared" si="45"/>
        <v>0.78</v>
      </c>
      <c r="E537" s="79" t="str">
        <f t="shared" si="44"/>
        <v>B</v>
      </c>
      <c r="F537" s="103">
        <f>MAX('Marks Input'!$J$4:$J$37)</f>
        <v>96</v>
      </c>
      <c r="G537" s="104">
        <f>MIN('Marks Input'!$J$4:$J$37)</f>
        <v>34</v>
      </c>
      <c r="H537" s="111">
        <f>'Marks Input'!$J$40</f>
        <v>71.03</v>
      </c>
      <c r="I537" s="77">
        <f>'FM-2'!Y18</f>
        <v>7</v>
      </c>
    </row>
    <row r="538" spans="1:9" ht="15" customHeight="1" thickBot="1" x14ac:dyDescent="0.35">
      <c r="A538" s="119" t="str">
        <f>'Marks Input'!$K$2</f>
        <v>Maths</v>
      </c>
      <c r="B538" s="109">
        <f>'Marks Input'!$K$3</f>
        <v>100</v>
      </c>
      <c r="C538" s="102">
        <f>'FM-2'!O18</f>
        <v>54</v>
      </c>
      <c r="D538" s="110">
        <f t="shared" si="45"/>
        <v>0.54</v>
      </c>
      <c r="E538" s="79" t="str">
        <f t="shared" si="44"/>
        <v>D</v>
      </c>
      <c r="F538" s="103">
        <f>MAX('Marks Input'!$K$4:$K$37)</f>
        <v>94</v>
      </c>
      <c r="G538" s="104">
        <f>MIN('Marks Input'!$K$4:$K$37)</f>
        <v>57</v>
      </c>
      <c r="H538" s="111">
        <f>'Marks Input'!$K$40</f>
        <v>75.819999999999993</v>
      </c>
      <c r="I538" s="77">
        <f>'FM-2'!Z18</f>
        <v>11</v>
      </c>
    </row>
    <row r="539" spans="1:9" ht="15" customHeight="1" thickBot="1" x14ac:dyDescent="0.35">
      <c r="A539" s="119" t="str">
        <f>'Marks Input'!$L$2</f>
        <v>Sci./ Che.</v>
      </c>
      <c r="B539" s="109">
        <f>'Marks Input'!$L$3</f>
        <v>100</v>
      </c>
      <c r="C539" s="102">
        <f>'FM-2'!P18</f>
        <v>95</v>
      </c>
      <c r="D539" s="110">
        <f t="shared" si="45"/>
        <v>0.95</v>
      </c>
      <c r="E539" s="79" t="str">
        <f t="shared" si="44"/>
        <v>A+</v>
      </c>
      <c r="F539" s="103">
        <f>MAX('Marks Input'!$L$4:$L$37)</f>
        <v>98</v>
      </c>
      <c r="G539" s="104">
        <f>MIN('Marks Input'!$L$4:$L$37)</f>
        <v>40</v>
      </c>
      <c r="H539" s="111">
        <f>'Marks Input'!$L$40</f>
        <v>61.09</v>
      </c>
      <c r="I539" s="77">
        <f>'FM-2'!AA18</f>
        <v>5</v>
      </c>
    </row>
    <row r="540" spans="1:9" ht="15" customHeight="1" thickBot="1" x14ac:dyDescent="0.35">
      <c r="A540" s="119" t="str">
        <f>'Marks Input'!$M$2</f>
        <v>Nazra</v>
      </c>
      <c r="B540" s="109">
        <f>'Marks Input'!$M$3</f>
        <v>100</v>
      </c>
      <c r="C540" s="102">
        <f>'FM-2'!Q18</f>
        <v>57</v>
      </c>
      <c r="D540" s="110">
        <f t="shared" si="45"/>
        <v>0.56999999999999995</v>
      </c>
      <c r="E540" s="79" t="str">
        <f t="shared" si="44"/>
        <v>D</v>
      </c>
      <c r="F540" s="103">
        <f>MAX('Marks Input'!$M$4:$M$37)</f>
        <v>94</v>
      </c>
      <c r="G540" s="104">
        <f>MIN('Marks Input'!$M$4:$M$37)</f>
        <v>32</v>
      </c>
      <c r="H540" s="111">
        <f>'Marks Input'!$M$40</f>
        <v>57.79</v>
      </c>
      <c r="I540" s="77">
        <f>'FM-2'!AB18</f>
        <v>16</v>
      </c>
    </row>
    <row r="541" spans="1:9" ht="15" customHeight="1" thickBot="1" x14ac:dyDescent="0.35">
      <c r="A541" s="119" t="str">
        <f>'Marks Input'!$N$2</f>
        <v>Physics</v>
      </c>
      <c r="B541" s="109">
        <f>'Marks Input'!$N$3</f>
        <v>100</v>
      </c>
      <c r="C541" s="102">
        <f>'FM-2'!R18</f>
        <v>75</v>
      </c>
      <c r="D541" s="110">
        <f t="shared" si="45"/>
        <v>0.75</v>
      </c>
      <c r="E541" s="79" t="str">
        <f t="shared" si="44"/>
        <v>B</v>
      </c>
      <c r="F541" s="103">
        <f>MAX('Marks Input'!$N$4:$N$37)</f>
        <v>60</v>
      </c>
      <c r="G541" s="104">
        <f>MIN('Marks Input'!$N$4:$N$37)</f>
        <v>18</v>
      </c>
      <c r="H541" s="111">
        <f>'Marks Input'!$N$40</f>
        <v>42.94</v>
      </c>
      <c r="I541" s="77">
        <f>'FM-2'!AC18</f>
        <v>16</v>
      </c>
    </row>
    <row r="542" spans="1:9" ht="15" customHeight="1" thickBot="1" x14ac:dyDescent="0.35">
      <c r="A542" s="120" t="str">
        <f>'Marks Input'!$O$2</f>
        <v>Bio./Comp.</v>
      </c>
      <c r="B542" s="112">
        <f>'Marks Input'!$O$3</f>
        <v>100</v>
      </c>
      <c r="C542" s="113">
        <f>'FM-2'!S18</f>
        <v>57</v>
      </c>
      <c r="D542" s="114">
        <f>C542/B542</f>
        <v>0.56999999999999995</v>
      </c>
      <c r="E542" s="80" t="str">
        <f t="shared" si="44"/>
        <v>D</v>
      </c>
      <c r="F542" s="115">
        <f>MAX('Marks Input'!$O$4:$O$37)</f>
        <v>40</v>
      </c>
      <c r="G542" s="116">
        <f>MIN('Marks Input'!$O$4:$O$37)</f>
        <v>14</v>
      </c>
      <c r="H542" s="117">
        <f>'Marks Input'!$O$40</f>
        <v>30.44</v>
      </c>
      <c r="I542" s="78">
        <f>'FM-2'!AD18</f>
        <v>16</v>
      </c>
    </row>
    <row r="543" spans="1:9" ht="21" customHeight="1" thickBot="1" x14ac:dyDescent="0.45">
      <c r="A543" s="69" t="s">
        <v>14</v>
      </c>
      <c r="B543" s="70">
        <f>'Marks Input'!$P$3</f>
        <v>900</v>
      </c>
      <c r="C543" s="71">
        <f>'FM-2'!U18</f>
        <v>554</v>
      </c>
      <c r="D543" s="72">
        <f t="shared" ref="D543" si="46">C543/B543</f>
        <v>0.61555555555555552</v>
      </c>
      <c r="E543" s="73" t="str">
        <f t="shared" si="44"/>
        <v>C</v>
      </c>
      <c r="F543" s="70">
        <f>MAX('Marks Input'!$P$4:$P$37)</f>
        <v>673</v>
      </c>
      <c r="G543" s="71">
        <f>MIN('Marks Input'!$P$4:$P$37)</f>
        <v>322</v>
      </c>
      <c r="H543" s="74">
        <f>'Marks Input'!$P$40</f>
        <v>493.26</v>
      </c>
      <c r="I543" s="75">
        <f>'FM-2'!AF18</f>
        <v>8</v>
      </c>
    </row>
    <row r="544" spans="1:9" ht="21" customHeight="1" thickBot="1" x14ac:dyDescent="0.35">
      <c r="A544" s="196" t="s">
        <v>15</v>
      </c>
      <c r="B544" s="197"/>
      <c r="C544" s="197"/>
      <c r="H544" s="82"/>
      <c r="I544" s="83"/>
    </row>
    <row r="545" spans="1:9" ht="35.1" customHeight="1" x14ac:dyDescent="0.3">
      <c r="A545" s="198" t="str">
        <f>IF(D543&gt;0.399,"Promoted","Not Promoted")</f>
        <v>Promoted</v>
      </c>
      <c r="B545" s="199"/>
      <c r="C545" s="199"/>
      <c r="D545" s="199"/>
      <c r="E545" s="199"/>
      <c r="F545" s="199"/>
      <c r="G545" s="199"/>
      <c r="H545" s="199"/>
      <c r="I545" s="200"/>
    </row>
    <row r="546" spans="1:9" ht="35.1" customHeight="1" thickBot="1" x14ac:dyDescent="0.35">
      <c r="A546" s="201"/>
      <c r="B546" s="202"/>
      <c r="C546" s="202"/>
      <c r="D546" s="202"/>
      <c r="E546" s="202"/>
      <c r="F546" s="202"/>
      <c r="G546" s="202"/>
      <c r="H546" s="202"/>
      <c r="I546" s="203"/>
    </row>
    <row r="547" spans="1:9" ht="30" customHeight="1" x14ac:dyDescent="0.3">
      <c r="A547" s="84"/>
      <c r="B547" s="85"/>
      <c r="C547" s="85"/>
      <c r="D547" s="121" t="s">
        <v>140</v>
      </c>
      <c r="E547" s="86"/>
      <c r="F547" s="86"/>
      <c r="G547" s="204"/>
      <c r="H547" s="204"/>
      <c r="I547" s="205"/>
    </row>
    <row r="548" spans="1:9" ht="30" customHeight="1" x14ac:dyDescent="0.3">
      <c r="A548" s="84"/>
      <c r="D548" s="121" t="s">
        <v>16</v>
      </c>
      <c r="E548" s="86"/>
      <c r="F548" s="86"/>
      <c r="G548" s="206"/>
      <c r="H548" s="206"/>
      <c r="I548" s="207"/>
    </row>
    <row r="549" spans="1:9" ht="15" customHeight="1" x14ac:dyDescent="0.3">
      <c r="A549" s="84"/>
      <c r="F549" s="208" t="str">
        <f>A526</f>
        <v>APS Hazro</v>
      </c>
      <c r="G549" s="208"/>
      <c r="H549" s="208"/>
      <c r="I549" s="209"/>
    </row>
    <row r="550" spans="1:9" ht="15" customHeight="1" thickBot="1" x14ac:dyDescent="0.35">
      <c r="A550" s="210"/>
      <c r="B550" s="211"/>
      <c r="C550" s="211"/>
      <c r="D550" s="211"/>
      <c r="E550" s="211"/>
      <c r="F550" s="211"/>
      <c r="G550" s="211"/>
      <c r="H550" s="211"/>
      <c r="I550" s="212"/>
    </row>
    <row r="551" spans="1:9" ht="15" customHeight="1" x14ac:dyDescent="0.3">
      <c r="A551" s="213"/>
      <c r="B551" s="214"/>
      <c r="C551" s="214"/>
      <c r="D551" s="214"/>
      <c r="E551" s="214"/>
      <c r="F551" s="214"/>
      <c r="G551" s="214"/>
      <c r="H551" s="214"/>
      <c r="I551" s="215"/>
    </row>
    <row r="552" spans="1:9" ht="21" customHeight="1" x14ac:dyDescent="0.35">
      <c r="A552" s="87" t="s">
        <v>17</v>
      </c>
      <c r="B552" s="105">
        <f>H530</f>
        <v>16</v>
      </c>
      <c r="C552" s="88"/>
      <c r="D552" s="89" t="s">
        <v>3</v>
      </c>
      <c r="E552" s="89" t="str">
        <f>E530</f>
        <v>7TH</v>
      </c>
      <c r="F552" s="90" t="s">
        <v>18</v>
      </c>
      <c r="G552" s="216" t="str">
        <f>E543</f>
        <v>C</v>
      </c>
      <c r="H552" s="216"/>
      <c r="I552" s="217"/>
    </row>
    <row r="553" spans="1:9" ht="30" customHeight="1" x14ac:dyDescent="0.3">
      <c r="A553" s="176" t="s">
        <v>210</v>
      </c>
      <c r="B553" s="177"/>
      <c r="C553" s="218"/>
      <c r="D553" s="218"/>
      <c r="E553" s="187" t="s">
        <v>19</v>
      </c>
      <c r="F553" s="187"/>
      <c r="G553" s="219">
        <f>'FM-2'!G18</f>
        <v>3005327322</v>
      </c>
      <c r="H553" s="219"/>
      <c r="I553" s="220"/>
    </row>
    <row r="554" spans="1:9" ht="30" customHeight="1" x14ac:dyDescent="0.3">
      <c r="A554" s="176" t="s">
        <v>20</v>
      </c>
      <c r="B554" s="177"/>
      <c r="C554" s="178"/>
      <c r="D554" s="178"/>
      <c r="E554" s="178"/>
      <c r="F554" s="178"/>
      <c r="G554" s="178"/>
      <c r="H554" s="178"/>
      <c r="I554" s="179"/>
    </row>
    <row r="555" spans="1:9" ht="30" customHeight="1" x14ac:dyDescent="0.3">
      <c r="A555" s="180"/>
      <c r="B555" s="181"/>
      <c r="C555" s="181"/>
      <c r="D555" s="181"/>
      <c r="E555" s="181"/>
      <c r="F555" s="181"/>
      <c r="G555" s="181"/>
      <c r="H555" s="181"/>
      <c r="I555" s="182"/>
    </row>
    <row r="556" spans="1:9" ht="21" customHeight="1" x14ac:dyDescent="0.3">
      <c r="A556" s="183"/>
      <c r="B556" s="184"/>
      <c r="C556" s="184"/>
      <c r="D556" s="184"/>
      <c r="E556" s="184"/>
      <c r="F556" s="184"/>
      <c r="G556" s="184"/>
      <c r="H556" s="184"/>
      <c r="I556" s="185"/>
    </row>
    <row r="557" spans="1:9" ht="21" customHeight="1" x14ac:dyDescent="0.3">
      <c r="A557" s="91" t="s">
        <v>207</v>
      </c>
      <c r="B557" s="186">
        <f ca="1">TODAY()</f>
        <v>46315</v>
      </c>
      <c r="C557" s="186"/>
      <c r="D557" s="187" t="s">
        <v>141</v>
      </c>
      <c r="E557" s="187"/>
      <c r="F557" s="187"/>
      <c r="G557" s="188"/>
      <c r="H557" s="188"/>
      <c r="I557" s="189"/>
    </row>
    <row r="558" spans="1:9" ht="21" customHeight="1" x14ac:dyDescent="0.3">
      <c r="A558" s="190" t="s">
        <v>211</v>
      </c>
      <c r="B558" s="191"/>
      <c r="C558" s="191"/>
      <c r="D558" s="191"/>
      <c r="E558" s="191"/>
      <c r="F558" s="191"/>
      <c r="G558" s="191"/>
      <c r="H558" s="191"/>
      <c r="I558" s="192"/>
    </row>
    <row r="559" spans="1:9" ht="15" customHeight="1" x14ac:dyDescent="0.3">
      <c r="A559" s="190"/>
      <c r="B559" s="191"/>
      <c r="C559" s="191"/>
      <c r="D559" s="191"/>
      <c r="E559" s="191"/>
      <c r="F559" s="191"/>
      <c r="G559" s="191"/>
      <c r="H559" s="191"/>
      <c r="I559" s="192"/>
    </row>
    <row r="560" spans="1:9" ht="15.75" customHeight="1" thickBot="1" x14ac:dyDescent="0.35">
      <c r="A560" s="193"/>
      <c r="B560" s="194"/>
      <c r="C560" s="194"/>
      <c r="D560" s="194"/>
      <c r="E560" s="194"/>
      <c r="F560" s="194"/>
      <c r="G560" s="194"/>
      <c r="H560" s="194"/>
      <c r="I560" s="195"/>
    </row>
    <row r="561" spans="1:9" ht="41.1" customHeight="1" thickBot="1" x14ac:dyDescent="0.35">
      <c r="A561" s="240" t="str">
        <f>'FM-2'!$I$3</f>
        <v>APS Hazro</v>
      </c>
      <c r="B561" s="241"/>
      <c r="C561" s="241"/>
      <c r="D561" s="241"/>
      <c r="E561" s="241"/>
      <c r="F561" s="241"/>
      <c r="G561" s="241"/>
      <c r="H561" s="241"/>
      <c r="I561" s="242"/>
    </row>
    <row r="562" spans="1:9" ht="21" customHeight="1" thickBot="1" x14ac:dyDescent="0.4">
      <c r="A562" s="129" t="str">
        <f>'FM-2'!$J$3</f>
        <v>ANNUAL EXAM 2024</v>
      </c>
      <c r="B562" s="67"/>
      <c r="C562" s="67"/>
      <c r="D562" s="67"/>
      <c r="E562" s="67"/>
      <c r="F562" s="67"/>
      <c r="G562" s="67"/>
      <c r="H562" s="67"/>
      <c r="I562" s="68"/>
    </row>
    <row r="563" spans="1:9" ht="21" customHeight="1" x14ac:dyDescent="0.35">
      <c r="A563" s="122"/>
      <c r="B563" s="123"/>
      <c r="C563" s="123"/>
      <c r="D563" s="123"/>
      <c r="E563" s="123"/>
      <c r="F563" s="123"/>
      <c r="G563" s="123"/>
      <c r="H563" s="123"/>
      <c r="I563" s="124"/>
    </row>
    <row r="564" spans="1:9" ht="21" customHeight="1" x14ac:dyDescent="0.3">
      <c r="A564" s="221" t="s">
        <v>0</v>
      </c>
      <c r="B564" s="222"/>
      <c r="C564" s="98" t="str">
        <f>'FM-2'!E19</f>
        <v>Ali17</v>
      </c>
      <c r="D564" s="98"/>
      <c r="E564" s="98"/>
      <c r="F564" s="222" t="s">
        <v>1</v>
      </c>
      <c r="G564" s="222"/>
      <c r="H564" s="223" t="str">
        <f>'FM-2'!F19</f>
        <v>Khan 17</v>
      </c>
      <c r="I564" s="224"/>
    </row>
    <row r="565" spans="1:9" ht="21" customHeight="1" x14ac:dyDescent="0.3">
      <c r="A565" s="221" t="s">
        <v>2</v>
      </c>
      <c r="B565" s="222"/>
      <c r="C565" s="92">
        <f>'FM-2'!C19</f>
        <v>1016</v>
      </c>
      <c r="D565" s="93" t="s">
        <v>3</v>
      </c>
      <c r="E565" s="92" t="str">
        <f>'FM-2'!$B$3</f>
        <v>7TH</v>
      </c>
      <c r="F565" s="222" t="s">
        <v>4</v>
      </c>
      <c r="G565" s="222"/>
      <c r="H565" s="225">
        <f>'FM-2'!D19</f>
        <v>17</v>
      </c>
      <c r="I565" s="226"/>
    </row>
    <row r="566" spans="1:9" ht="21" customHeight="1" thickBot="1" x14ac:dyDescent="0.35">
      <c r="A566" s="227" t="s">
        <v>206</v>
      </c>
      <c r="B566" s="228"/>
      <c r="C566" s="94">
        <f>COUNTIF('Marks Input'!$B$4:$B$63,"&gt;0")</f>
        <v>34</v>
      </c>
      <c r="D566" s="93"/>
      <c r="E566" s="95"/>
      <c r="F566" s="93"/>
      <c r="G566" s="93"/>
      <c r="H566" s="96"/>
      <c r="I566" s="97"/>
    </row>
    <row r="567" spans="1:9" ht="15.75" customHeight="1" thickBot="1" x14ac:dyDescent="0.35">
      <c r="A567" s="229" t="s">
        <v>5</v>
      </c>
      <c r="B567" s="231" t="s">
        <v>6</v>
      </c>
      <c r="C567" s="233" t="s">
        <v>7</v>
      </c>
      <c r="D567" s="235" t="s">
        <v>209</v>
      </c>
      <c r="E567" s="229" t="s">
        <v>8</v>
      </c>
      <c r="F567" s="237" t="s">
        <v>9</v>
      </c>
      <c r="G567" s="238"/>
      <c r="H567" s="238"/>
      <c r="I567" s="239"/>
    </row>
    <row r="568" spans="1:9" ht="30" customHeight="1" thickBot="1" x14ac:dyDescent="0.35">
      <c r="A568" s="230"/>
      <c r="B568" s="232"/>
      <c r="C568" s="234"/>
      <c r="D568" s="236"/>
      <c r="E568" s="230"/>
      <c r="F568" s="125" t="s">
        <v>10</v>
      </c>
      <c r="G568" s="126" t="s">
        <v>11</v>
      </c>
      <c r="H568" s="127" t="s">
        <v>12</v>
      </c>
      <c r="I568" s="128" t="s">
        <v>208</v>
      </c>
    </row>
    <row r="569" spans="1:9" ht="15" customHeight="1" thickBot="1" x14ac:dyDescent="0.35">
      <c r="A569" s="118" t="str">
        <f>'Marks Input'!$G$2</f>
        <v>Urdu</v>
      </c>
      <c r="B569" s="106">
        <f>'Marks Input'!$G$3</f>
        <v>100</v>
      </c>
      <c r="C569" s="99">
        <f>'FM-2'!K19</f>
        <v>54</v>
      </c>
      <c r="D569" s="107">
        <f>C569/B569</f>
        <v>0.54</v>
      </c>
      <c r="E569" s="79" t="str">
        <f>IF(D569&gt;0.899,"A+",IF(D569&gt;0.799,"A",IF(D569&gt;0.699,"B",IF(D569&gt;0.599,"C",IF(D569&gt;0.499,"D",IF(D569&gt;0.399,"E","F"))))))</f>
        <v>D</v>
      </c>
      <c r="F569" s="100">
        <f>MAX('Marks Input'!$G$4:$G$37)</f>
        <v>72</v>
      </c>
      <c r="G569" s="101">
        <f>MIN('Marks Input'!$G$4:$G$37)</f>
        <v>40</v>
      </c>
      <c r="H569" s="108">
        <f>'Marks Input'!$G$40</f>
        <v>62.59</v>
      </c>
      <c r="I569" s="76">
        <f>'FM-2'!V19</f>
        <v>28</v>
      </c>
    </row>
    <row r="570" spans="1:9" ht="15" customHeight="1" thickBot="1" x14ac:dyDescent="0.35">
      <c r="A570" s="119" t="str">
        <f>'Marks Input'!$H$2</f>
        <v>English</v>
      </c>
      <c r="B570" s="109">
        <f>'Marks Input'!$H$3</f>
        <v>100</v>
      </c>
      <c r="C570" s="102">
        <f>'FM-2'!L19</f>
        <v>63</v>
      </c>
      <c r="D570" s="110">
        <f>C570/B570</f>
        <v>0.63</v>
      </c>
      <c r="E570" s="79" t="str">
        <f t="shared" ref="E570:E578" si="47">IF(D570&gt;0.899,"A+",IF(D570&gt;0.799,"A",IF(D570&gt;0.699,"B",IF(D570&gt;0.599,"C",IF(D570&gt;0.499,"D",IF(D570&gt;0.399,"E","F"))))))</f>
        <v>C</v>
      </c>
      <c r="F570" s="103">
        <f>MAX('Marks Input'!$H$4:$H$37)</f>
        <v>74</v>
      </c>
      <c r="G570" s="104">
        <f>MIN('Marks Input'!$H$4:$H$37)</f>
        <v>30</v>
      </c>
      <c r="H570" s="111">
        <f>'Marks Input'!$H$40</f>
        <v>43.26</v>
      </c>
      <c r="I570" s="77">
        <f>'FM-2'!W19</f>
        <v>3</v>
      </c>
    </row>
    <row r="571" spans="1:9" ht="15" customHeight="1" thickBot="1" x14ac:dyDescent="0.35">
      <c r="A571" s="119" t="str">
        <f>'Marks Input'!$I$2</f>
        <v>Islamiyat</v>
      </c>
      <c r="B571" s="109">
        <f>'Marks Input'!$I$3</f>
        <v>100</v>
      </c>
      <c r="C571" s="102">
        <f>'FM-2'!M19</f>
        <v>55</v>
      </c>
      <c r="D571" s="110">
        <f t="shared" ref="D571:D576" si="48">C571/B571</f>
        <v>0.55000000000000004</v>
      </c>
      <c r="E571" s="79" t="str">
        <f t="shared" si="47"/>
        <v>D</v>
      </c>
      <c r="F571" s="103">
        <f>MAX('Marks Input'!$I$4:$I$37)</f>
        <v>88</v>
      </c>
      <c r="G571" s="104">
        <f>MIN('Marks Input'!$I$4:$I$37)</f>
        <v>34</v>
      </c>
      <c r="H571" s="111">
        <f>'Marks Input'!$I$40</f>
        <v>48.29</v>
      </c>
      <c r="I571" s="77">
        <f>'FM-2'!X19</f>
        <v>10</v>
      </c>
    </row>
    <row r="572" spans="1:9" ht="15" customHeight="1" thickBot="1" x14ac:dyDescent="0.35">
      <c r="A572" s="119" t="str">
        <f>'Marks Input'!$J$2</f>
        <v>Pak Studies</v>
      </c>
      <c r="B572" s="109">
        <f>'Marks Input'!$J$3</f>
        <v>100</v>
      </c>
      <c r="C572" s="102">
        <f>'FM-2'!N19</f>
        <v>64</v>
      </c>
      <c r="D572" s="110">
        <f t="shared" si="48"/>
        <v>0.64</v>
      </c>
      <c r="E572" s="79" t="str">
        <f t="shared" si="47"/>
        <v>C</v>
      </c>
      <c r="F572" s="103">
        <f>MAX('Marks Input'!$J$4:$J$37)</f>
        <v>96</v>
      </c>
      <c r="G572" s="104">
        <f>MIN('Marks Input'!$J$4:$J$37)</f>
        <v>34</v>
      </c>
      <c r="H572" s="111">
        <f>'Marks Input'!$J$40</f>
        <v>71.03</v>
      </c>
      <c r="I572" s="77">
        <f>'FM-2'!Y19</f>
        <v>13</v>
      </c>
    </row>
    <row r="573" spans="1:9" ht="15" customHeight="1" thickBot="1" x14ac:dyDescent="0.35">
      <c r="A573" s="119" t="str">
        <f>'Marks Input'!$K$2</f>
        <v>Maths</v>
      </c>
      <c r="B573" s="109">
        <f>'Marks Input'!$K$3</f>
        <v>100</v>
      </c>
      <c r="C573" s="102">
        <f>'FM-2'!O19</f>
        <v>50</v>
      </c>
      <c r="D573" s="110">
        <f t="shared" si="48"/>
        <v>0.5</v>
      </c>
      <c r="E573" s="79" t="str">
        <f t="shared" si="47"/>
        <v>D</v>
      </c>
      <c r="F573" s="103">
        <f>MAX('Marks Input'!$K$4:$K$37)</f>
        <v>94</v>
      </c>
      <c r="G573" s="104">
        <f>MIN('Marks Input'!$K$4:$K$37)</f>
        <v>57</v>
      </c>
      <c r="H573" s="111">
        <f>'Marks Input'!$K$40</f>
        <v>75.819999999999993</v>
      </c>
      <c r="I573" s="77">
        <f>'FM-2'!Z19</f>
        <v>12</v>
      </c>
    </row>
    <row r="574" spans="1:9" ht="15" customHeight="1" thickBot="1" x14ac:dyDescent="0.35">
      <c r="A574" s="119" t="str">
        <f>'Marks Input'!$L$2</f>
        <v>Sci./ Che.</v>
      </c>
      <c r="B574" s="109">
        <f>'Marks Input'!$L$3</f>
        <v>100</v>
      </c>
      <c r="C574" s="102">
        <f>'FM-2'!P19</f>
        <v>95</v>
      </c>
      <c r="D574" s="110">
        <f t="shared" si="48"/>
        <v>0.95</v>
      </c>
      <c r="E574" s="79" t="str">
        <f t="shared" si="47"/>
        <v>A+</v>
      </c>
      <c r="F574" s="103">
        <f>MAX('Marks Input'!$L$4:$L$37)</f>
        <v>98</v>
      </c>
      <c r="G574" s="104">
        <f>MIN('Marks Input'!$L$4:$L$37)</f>
        <v>40</v>
      </c>
      <c r="H574" s="111">
        <f>'Marks Input'!$L$40</f>
        <v>61.09</v>
      </c>
      <c r="I574" s="77">
        <f>'FM-2'!AA19</f>
        <v>5</v>
      </c>
    </row>
    <row r="575" spans="1:9" ht="15" customHeight="1" thickBot="1" x14ac:dyDescent="0.35">
      <c r="A575" s="119" t="str">
        <f>'Marks Input'!$M$2</f>
        <v>Nazra</v>
      </c>
      <c r="B575" s="109">
        <f>'Marks Input'!$M$3</f>
        <v>100</v>
      </c>
      <c r="C575" s="102">
        <f>'FM-2'!Q19</f>
        <v>70</v>
      </c>
      <c r="D575" s="110">
        <f t="shared" si="48"/>
        <v>0.7</v>
      </c>
      <c r="E575" s="79" t="str">
        <f t="shared" si="47"/>
        <v>B</v>
      </c>
      <c r="F575" s="103">
        <f>MAX('Marks Input'!$M$4:$M$37)</f>
        <v>94</v>
      </c>
      <c r="G575" s="104">
        <f>MIN('Marks Input'!$M$4:$M$37)</f>
        <v>32</v>
      </c>
      <c r="H575" s="111">
        <f>'Marks Input'!$M$40</f>
        <v>57.79</v>
      </c>
      <c r="I575" s="77">
        <f>'FM-2'!AB19</f>
        <v>9</v>
      </c>
    </row>
    <row r="576" spans="1:9" ht="15" customHeight="1" thickBot="1" x14ac:dyDescent="0.35">
      <c r="A576" s="119" t="str">
        <f>'Marks Input'!$N$2</f>
        <v>Physics</v>
      </c>
      <c r="B576" s="109">
        <f>'Marks Input'!$N$3</f>
        <v>100</v>
      </c>
      <c r="C576" s="102">
        <f>'FM-2'!R19</f>
        <v>75</v>
      </c>
      <c r="D576" s="110">
        <f t="shared" si="48"/>
        <v>0.75</v>
      </c>
      <c r="E576" s="79" t="str">
        <f t="shared" si="47"/>
        <v>B</v>
      </c>
      <c r="F576" s="103">
        <f>MAX('Marks Input'!$N$4:$N$37)</f>
        <v>60</v>
      </c>
      <c r="G576" s="104">
        <f>MIN('Marks Input'!$N$4:$N$37)</f>
        <v>18</v>
      </c>
      <c r="H576" s="111">
        <f>'Marks Input'!$N$40</f>
        <v>42.94</v>
      </c>
      <c r="I576" s="77">
        <f>'FM-2'!AC19</f>
        <v>16</v>
      </c>
    </row>
    <row r="577" spans="1:9" ht="15" customHeight="1" thickBot="1" x14ac:dyDescent="0.35">
      <c r="A577" s="120" t="str">
        <f>'Marks Input'!$O$2</f>
        <v>Bio./Comp.</v>
      </c>
      <c r="B577" s="112">
        <f>'Marks Input'!$O$3</f>
        <v>100</v>
      </c>
      <c r="C577" s="113">
        <f>'FM-2'!S19</f>
        <v>70</v>
      </c>
      <c r="D577" s="114">
        <f>C577/B577</f>
        <v>0.7</v>
      </c>
      <c r="E577" s="80" t="str">
        <f t="shared" si="47"/>
        <v>B</v>
      </c>
      <c r="F577" s="115">
        <f>MAX('Marks Input'!$O$4:$O$37)</f>
        <v>40</v>
      </c>
      <c r="G577" s="116">
        <f>MIN('Marks Input'!$O$4:$O$37)</f>
        <v>14</v>
      </c>
      <c r="H577" s="117">
        <f>'Marks Input'!$O$40</f>
        <v>30.44</v>
      </c>
      <c r="I577" s="78">
        <f>'FM-2'!AD19</f>
        <v>9</v>
      </c>
    </row>
    <row r="578" spans="1:9" ht="21" customHeight="1" thickBot="1" x14ac:dyDescent="0.45">
      <c r="A578" s="69" t="s">
        <v>14</v>
      </c>
      <c r="B578" s="70">
        <f>'Marks Input'!$P$3</f>
        <v>900</v>
      </c>
      <c r="C578" s="71">
        <f>'FM-2'!U19</f>
        <v>562</v>
      </c>
      <c r="D578" s="72">
        <f t="shared" ref="D578" si="49">C578/B578</f>
        <v>0.62444444444444447</v>
      </c>
      <c r="E578" s="73" t="str">
        <f t="shared" si="47"/>
        <v>C</v>
      </c>
      <c r="F578" s="70">
        <f>MAX('Marks Input'!$P$4:$P$37)</f>
        <v>673</v>
      </c>
      <c r="G578" s="71">
        <f>MIN('Marks Input'!$P$4:$P$37)</f>
        <v>322</v>
      </c>
      <c r="H578" s="74">
        <f>'Marks Input'!$P$40</f>
        <v>493.26</v>
      </c>
      <c r="I578" s="75">
        <f>'FM-2'!AF19</f>
        <v>7</v>
      </c>
    </row>
    <row r="579" spans="1:9" ht="21" customHeight="1" thickBot="1" x14ac:dyDescent="0.35">
      <c r="A579" s="196" t="s">
        <v>15</v>
      </c>
      <c r="B579" s="197"/>
      <c r="C579" s="197"/>
      <c r="H579" s="82"/>
      <c r="I579" s="83"/>
    </row>
    <row r="580" spans="1:9" ht="35.1" customHeight="1" x14ac:dyDescent="0.3">
      <c r="A580" s="198" t="str">
        <f>IF(D578&gt;0.399,"Promoted","Not Promoted")</f>
        <v>Promoted</v>
      </c>
      <c r="B580" s="199"/>
      <c r="C580" s="199"/>
      <c r="D580" s="199"/>
      <c r="E580" s="199"/>
      <c r="F580" s="199"/>
      <c r="G580" s="199"/>
      <c r="H580" s="199"/>
      <c r="I580" s="200"/>
    </row>
    <row r="581" spans="1:9" ht="35.1" customHeight="1" thickBot="1" x14ac:dyDescent="0.35">
      <c r="A581" s="201"/>
      <c r="B581" s="202"/>
      <c r="C581" s="202"/>
      <c r="D581" s="202"/>
      <c r="E581" s="202"/>
      <c r="F581" s="202"/>
      <c r="G581" s="202"/>
      <c r="H581" s="202"/>
      <c r="I581" s="203"/>
    </row>
    <row r="582" spans="1:9" ht="30" customHeight="1" x14ac:dyDescent="0.3">
      <c r="A582" s="84"/>
      <c r="B582" s="85"/>
      <c r="C582" s="85"/>
      <c r="D582" s="121" t="s">
        <v>140</v>
      </c>
      <c r="E582" s="86"/>
      <c r="F582" s="86"/>
      <c r="G582" s="204"/>
      <c r="H582" s="204"/>
      <c r="I582" s="205"/>
    </row>
    <row r="583" spans="1:9" ht="30" customHeight="1" x14ac:dyDescent="0.3">
      <c r="A583" s="84"/>
      <c r="D583" s="121" t="s">
        <v>16</v>
      </c>
      <c r="E583" s="86"/>
      <c r="F583" s="86"/>
      <c r="G583" s="206"/>
      <c r="H583" s="206"/>
      <c r="I583" s="207"/>
    </row>
    <row r="584" spans="1:9" ht="15" customHeight="1" x14ac:dyDescent="0.3">
      <c r="A584" s="84"/>
      <c r="F584" s="208" t="str">
        <f>A561</f>
        <v>APS Hazro</v>
      </c>
      <c r="G584" s="208"/>
      <c r="H584" s="208"/>
      <c r="I584" s="209"/>
    </row>
    <row r="585" spans="1:9" ht="15" customHeight="1" thickBot="1" x14ac:dyDescent="0.35">
      <c r="A585" s="210"/>
      <c r="B585" s="211"/>
      <c r="C585" s="211"/>
      <c r="D585" s="211"/>
      <c r="E585" s="211"/>
      <c r="F585" s="211"/>
      <c r="G585" s="211"/>
      <c r="H585" s="211"/>
      <c r="I585" s="212"/>
    </row>
    <row r="586" spans="1:9" ht="15" customHeight="1" x14ac:dyDescent="0.3">
      <c r="A586" s="213"/>
      <c r="B586" s="214"/>
      <c r="C586" s="214"/>
      <c r="D586" s="214"/>
      <c r="E586" s="214"/>
      <c r="F586" s="214"/>
      <c r="G586" s="214"/>
      <c r="H586" s="214"/>
      <c r="I586" s="215"/>
    </row>
    <row r="587" spans="1:9" ht="21" customHeight="1" x14ac:dyDescent="0.35">
      <c r="A587" s="87" t="s">
        <v>17</v>
      </c>
      <c r="B587" s="105">
        <f>H565</f>
        <v>17</v>
      </c>
      <c r="C587" s="88"/>
      <c r="D587" s="89" t="s">
        <v>3</v>
      </c>
      <c r="E587" s="89" t="str">
        <f>E565</f>
        <v>7TH</v>
      </c>
      <c r="F587" s="90" t="s">
        <v>18</v>
      </c>
      <c r="G587" s="216" t="str">
        <f>E578</f>
        <v>C</v>
      </c>
      <c r="H587" s="216"/>
      <c r="I587" s="217"/>
    </row>
    <row r="588" spans="1:9" ht="30" customHeight="1" x14ac:dyDescent="0.3">
      <c r="A588" s="176" t="s">
        <v>210</v>
      </c>
      <c r="B588" s="177"/>
      <c r="C588" s="218"/>
      <c r="D588" s="218"/>
      <c r="E588" s="187" t="s">
        <v>19</v>
      </c>
      <c r="F588" s="187"/>
      <c r="G588" s="219">
        <f>'FM-2'!G19</f>
        <v>3005327363</v>
      </c>
      <c r="H588" s="219"/>
      <c r="I588" s="220"/>
    </row>
    <row r="589" spans="1:9" ht="30" customHeight="1" x14ac:dyDescent="0.3">
      <c r="A589" s="176" t="s">
        <v>20</v>
      </c>
      <c r="B589" s="177"/>
      <c r="C589" s="178"/>
      <c r="D589" s="178"/>
      <c r="E589" s="178"/>
      <c r="F589" s="178"/>
      <c r="G589" s="178"/>
      <c r="H589" s="178"/>
      <c r="I589" s="179"/>
    </row>
    <row r="590" spans="1:9" ht="30" customHeight="1" x14ac:dyDescent="0.3">
      <c r="A590" s="180"/>
      <c r="B590" s="181"/>
      <c r="C590" s="181"/>
      <c r="D590" s="181"/>
      <c r="E590" s="181"/>
      <c r="F590" s="181"/>
      <c r="G590" s="181"/>
      <c r="H590" s="181"/>
      <c r="I590" s="182"/>
    </row>
    <row r="591" spans="1:9" ht="21" customHeight="1" x14ac:dyDescent="0.3">
      <c r="A591" s="183"/>
      <c r="B591" s="184"/>
      <c r="C591" s="184"/>
      <c r="D591" s="184"/>
      <c r="E591" s="184"/>
      <c r="F591" s="184"/>
      <c r="G591" s="184"/>
      <c r="H591" s="184"/>
      <c r="I591" s="185"/>
    </row>
    <row r="592" spans="1:9" ht="21" customHeight="1" x14ac:dyDescent="0.3">
      <c r="A592" s="91" t="s">
        <v>207</v>
      </c>
      <c r="B592" s="186">
        <f ca="1">TODAY()</f>
        <v>46315</v>
      </c>
      <c r="C592" s="186"/>
      <c r="D592" s="187" t="s">
        <v>141</v>
      </c>
      <c r="E592" s="187"/>
      <c r="F592" s="187"/>
      <c r="G592" s="188"/>
      <c r="H592" s="188"/>
      <c r="I592" s="189"/>
    </row>
    <row r="593" spans="1:9" ht="21" customHeight="1" x14ac:dyDescent="0.3">
      <c r="A593" s="190" t="s">
        <v>211</v>
      </c>
      <c r="B593" s="191"/>
      <c r="C593" s="191"/>
      <c r="D593" s="191"/>
      <c r="E593" s="191"/>
      <c r="F593" s="191"/>
      <c r="G593" s="191"/>
      <c r="H593" s="191"/>
      <c r="I593" s="192"/>
    </row>
    <row r="594" spans="1:9" ht="15" customHeight="1" x14ac:dyDescent="0.3">
      <c r="A594" s="190"/>
      <c r="B594" s="191"/>
      <c r="C594" s="191"/>
      <c r="D594" s="191"/>
      <c r="E594" s="191"/>
      <c r="F594" s="191"/>
      <c r="G594" s="191"/>
      <c r="H594" s="191"/>
      <c r="I594" s="192"/>
    </row>
    <row r="595" spans="1:9" ht="15" thickBot="1" x14ac:dyDescent="0.35">
      <c r="A595" s="193"/>
      <c r="B595" s="194"/>
      <c r="C595" s="194"/>
      <c r="D595" s="194"/>
      <c r="E595" s="194"/>
      <c r="F595" s="194"/>
      <c r="G595" s="194"/>
      <c r="H595" s="194"/>
      <c r="I595" s="195"/>
    </row>
    <row r="596" spans="1:9" ht="41.1" customHeight="1" thickBot="1" x14ac:dyDescent="0.35">
      <c r="A596" s="240" t="str">
        <f>'FM-2'!$I$3</f>
        <v>APS Hazro</v>
      </c>
      <c r="B596" s="241"/>
      <c r="C596" s="241"/>
      <c r="D596" s="241"/>
      <c r="E596" s="241"/>
      <c r="F596" s="241"/>
      <c r="G596" s="241"/>
      <c r="H596" s="241"/>
      <c r="I596" s="242"/>
    </row>
    <row r="597" spans="1:9" ht="21" customHeight="1" thickBot="1" x14ac:dyDescent="0.4">
      <c r="A597" s="129" t="str">
        <f>'FM-2'!$J$3</f>
        <v>ANNUAL EXAM 2024</v>
      </c>
      <c r="B597" s="67"/>
      <c r="C597" s="67"/>
      <c r="D597" s="67"/>
      <c r="E597" s="67"/>
      <c r="F597" s="67"/>
      <c r="G597" s="67"/>
      <c r="H597" s="67"/>
      <c r="I597" s="68"/>
    </row>
    <row r="598" spans="1:9" ht="21" customHeight="1" x14ac:dyDescent="0.35">
      <c r="A598" s="122"/>
      <c r="B598" s="123"/>
      <c r="C598" s="123"/>
      <c r="D598" s="123"/>
      <c r="E598" s="123"/>
      <c r="F598" s="123"/>
      <c r="G598" s="123"/>
      <c r="H598" s="123"/>
      <c r="I598" s="124"/>
    </row>
    <row r="599" spans="1:9" ht="21" customHeight="1" x14ac:dyDescent="0.3">
      <c r="A599" s="221" t="s">
        <v>0</v>
      </c>
      <c r="B599" s="222"/>
      <c r="C599" s="98" t="str">
        <f>'FM-2'!E20</f>
        <v>Ali18</v>
      </c>
      <c r="D599" s="98"/>
      <c r="E599" s="98"/>
      <c r="F599" s="222" t="s">
        <v>1</v>
      </c>
      <c r="G599" s="222"/>
      <c r="H599" s="223" t="str">
        <f>'FM-2'!F20</f>
        <v>Khan 18</v>
      </c>
      <c r="I599" s="224"/>
    </row>
    <row r="600" spans="1:9" ht="21" customHeight="1" x14ac:dyDescent="0.3">
      <c r="A600" s="221" t="s">
        <v>2</v>
      </c>
      <c r="B600" s="222"/>
      <c r="C600" s="92">
        <f>'FM-2'!C20</f>
        <v>1017</v>
      </c>
      <c r="D600" s="93" t="s">
        <v>3</v>
      </c>
      <c r="E600" s="92" t="str">
        <f>'FM-2'!$B$3</f>
        <v>7TH</v>
      </c>
      <c r="F600" s="222" t="s">
        <v>4</v>
      </c>
      <c r="G600" s="222"/>
      <c r="H600" s="225">
        <f>'FM-2'!D20</f>
        <v>18</v>
      </c>
      <c r="I600" s="226"/>
    </row>
    <row r="601" spans="1:9" ht="21" customHeight="1" thickBot="1" x14ac:dyDescent="0.35">
      <c r="A601" s="227" t="s">
        <v>206</v>
      </c>
      <c r="B601" s="228"/>
      <c r="C601" s="94">
        <f>COUNTIF('Marks Input'!$B$4:$B$63,"&gt;0")</f>
        <v>34</v>
      </c>
      <c r="D601" s="93"/>
      <c r="E601" s="95"/>
      <c r="F601" s="93"/>
      <c r="G601" s="93"/>
      <c r="H601" s="96"/>
      <c r="I601" s="97"/>
    </row>
    <row r="602" spans="1:9" ht="15.75" customHeight="1" thickBot="1" x14ac:dyDescent="0.35">
      <c r="A602" s="229" t="s">
        <v>5</v>
      </c>
      <c r="B602" s="231" t="s">
        <v>6</v>
      </c>
      <c r="C602" s="233" t="s">
        <v>7</v>
      </c>
      <c r="D602" s="235" t="s">
        <v>209</v>
      </c>
      <c r="E602" s="229" t="s">
        <v>8</v>
      </c>
      <c r="F602" s="237" t="s">
        <v>9</v>
      </c>
      <c r="G602" s="238"/>
      <c r="H602" s="238"/>
      <c r="I602" s="239"/>
    </row>
    <row r="603" spans="1:9" ht="30" customHeight="1" thickBot="1" x14ac:dyDescent="0.35">
      <c r="A603" s="230"/>
      <c r="B603" s="232"/>
      <c r="C603" s="234"/>
      <c r="D603" s="236"/>
      <c r="E603" s="230"/>
      <c r="F603" s="125" t="s">
        <v>10</v>
      </c>
      <c r="G603" s="126" t="s">
        <v>11</v>
      </c>
      <c r="H603" s="127" t="s">
        <v>12</v>
      </c>
      <c r="I603" s="128" t="s">
        <v>208</v>
      </c>
    </row>
    <row r="604" spans="1:9" ht="15" customHeight="1" thickBot="1" x14ac:dyDescent="0.35">
      <c r="A604" s="118" t="str">
        <f>'Marks Input'!$G$2</f>
        <v>Urdu</v>
      </c>
      <c r="B604" s="106">
        <f>'Marks Input'!$G$3</f>
        <v>100</v>
      </c>
      <c r="C604" s="99">
        <f>'FM-2'!K20</f>
        <v>68</v>
      </c>
      <c r="D604" s="107">
        <f>C604/B604</f>
        <v>0.68</v>
      </c>
      <c r="E604" s="79" t="str">
        <f>IF(D604&gt;0.899,"A+",IF(D604&gt;0.799,"A",IF(D604&gt;0.699,"B",IF(D604&gt;0.599,"C",IF(D604&gt;0.499,"D",IF(D604&gt;0.399,"E","F"))))))</f>
        <v>C</v>
      </c>
      <c r="F604" s="100">
        <f>MAX('Marks Input'!$G$4:$G$37)</f>
        <v>72</v>
      </c>
      <c r="G604" s="101">
        <f>MIN('Marks Input'!$G$4:$G$37)</f>
        <v>40</v>
      </c>
      <c r="H604" s="108">
        <f>'Marks Input'!$G$40</f>
        <v>62.59</v>
      </c>
      <c r="I604" s="76">
        <f>'FM-2'!V20</f>
        <v>9</v>
      </c>
    </row>
    <row r="605" spans="1:9" ht="15" customHeight="1" thickBot="1" x14ac:dyDescent="0.35">
      <c r="A605" s="119" t="str">
        <f>'Marks Input'!$H$2</f>
        <v>English</v>
      </c>
      <c r="B605" s="109">
        <f>'Marks Input'!$H$3</f>
        <v>100</v>
      </c>
      <c r="C605" s="102">
        <f>'FM-2'!L20</f>
        <v>52</v>
      </c>
      <c r="D605" s="110">
        <f>C605/B605</f>
        <v>0.52</v>
      </c>
      <c r="E605" s="79" t="str">
        <f t="shared" ref="E605:E613" si="50">IF(D605&gt;0.899,"A+",IF(D605&gt;0.799,"A",IF(D605&gt;0.699,"B",IF(D605&gt;0.599,"C",IF(D605&gt;0.499,"D",IF(D605&gt;0.399,"E","F"))))))</f>
        <v>D</v>
      </c>
      <c r="F605" s="103">
        <f>MAX('Marks Input'!$H$4:$H$37)</f>
        <v>74</v>
      </c>
      <c r="G605" s="104">
        <f>MIN('Marks Input'!$H$4:$H$37)</f>
        <v>30</v>
      </c>
      <c r="H605" s="111">
        <f>'Marks Input'!$H$40</f>
        <v>43.26</v>
      </c>
      <c r="I605" s="77">
        <f>'FM-2'!W20</f>
        <v>10</v>
      </c>
    </row>
    <row r="606" spans="1:9" ht="15" customHeight="1" thickBot="1" x14ac:dyDescent="0.35">
      <c r="A606" s="119" t="str">
        <f>'Marks Input'!$I$2</f>
        <v>Islamiyat</v>
      </c>
      <c r="B606" s="109">
        <f>'Marks Input'!$I$3</f>
        <v>100</v>
      </c>
      <c r="C606" s="102">
        <f>'FM-2'!M20</f>
        <v>50</v>
      </c>
      <c r="D606" s="110">
        <f t="shared" ref="D606:D611" si="51">C606/B606</f>
        <v>0.5</v>
      </c>
      <c r="E606" s="79" t="str">
        <f t="shared" si="50"/>
        <v>D</v>
      </c>
      <c r="F606" s="103">
        <f>MAX('Marks Input'!$I$4:$I$37)</f>
        <v>88</v>
      </c>
      <c r="G606" s="104">
        <f>MIN('Marks Input'!$I$4:$I$37)</f>
        <v>34</v>
      </c>
      <c r="H606" s="111">
        <f>'Marks Input'!$I$40</f>
        <v>48.29</v>
      </c>
      <c r="I606" s="77">
        <f>'FM-2'!X20</f>
        <v>15</v>
      </c>
    </row>
    <row r="607" spans="1:9" ht="15" customHeight="1" thickBot="1" x14ac:dyDescent="0.35">
      <c r="A607" s="119" t="str">
        <f>'Marks Input'!$J$2</f>
        <v>Pak Studies</v>
      </c>
      <c r="B607" s="109">
        <f>'Marks Input'!$J$3</f>
        <v>100</v>
      </c>
      <c r="C607" s="102">
        <f>'FM-2'!N20</f>
        <v>76</v>
      </c>
      <c r="D607" s="110">
        <f t="shared" si="51"/>
        <v>0.76</v>
      </c>
      <c r="E607" s="79" t="str">
        <f t="shared" si="50"/>
        <v>B</v>
      </c>
      <c r="F607" s="103">
        <f>MAX('Marks Input'!$J$4:$J$37)</f>
        <v>96</v>
      </c>
      <c r="G607" s="104">
        <f>MIN('Marks Input'!$J$4:$J$37)</f>
        <v>34</v>
      </c>
      <c r="H607" s="111">
        <f>'Marks Input'!$J$40</f>
        <v>71.03</v>
      </c>
      <c r="I607" s="77">
        <f>'FM-2'!Y20</f>
        <v>9</v>
      </c>
    </row>
    <row r="608" spans="1:9" ht="15" customHeight="1" thickBot="1" x14ac:dyDescent="0.35">
      <c r="A608" s="119" t="str">
        <f>'Marks Input'!$K$2</f>
        <v>Maths</v>
      </c>
      <c r="B608" s="109">
        <f>'Marks Input'!$K$3</f>
        <v>100</v>
      </c>
      <c r="C608" s="102">
        <f>'FM-2'!O20</f>
        <v>50</v>
      </c>
      <c r="D608" s="110">
        <f t="shared" si="51"/>
        <v>0.5</v>
      </c>
      <c r="E608" s="79" t="str">
        <f t="shared" si="50"/>
        <v>D</v>
      </c>
      <c r="F608" s="103">
        <f>MAX('Marks Input'!$K$4:$K$37)</f>
        <v>94</v>
      </c>
      <c r="G608" s="104">
        <f>MIN('Marks Input'!$K$4:$K$37)</f>
        <v>57</v>
      </c>
      <c r="H608" s="111">
        <f>'Marks Input'!$K$40</f>
        <v>75.819999999999993</v>
      </c>
      <c r="I608" s="77">
        <f>'FM-2'!Z20</f>
        <v>12</v>
      </c>
    </row>
    <row r="609" spans="1:9" ht="15" customHeight="1" thickBot="1" x14ac:dyDescent="0.35">
      <c r="A609" s="119" t="str">
        <f>'Marks Input'!$L$2</f>
        <v>Sci./ Che.</v>
      </c>
      <c r="B609" s="109">
        <f>'Marks Input'!$L$3</f>
        <v>100</v>
      </c>
      <c r="C609" s="102">
        <f>'FM-2'!P20</f>
        <v>89</v>
      </c>
      <c r="D609" s="110">
        <f t="shared" si="51"/>
        <v>0.89</v>
      </c>
      <c r="E609" s="79" t="str">
        <f t="shared" si="50"/>
        <v>A</v>
      </c>
      <c r="F609" s="103">
        <f>MAX('Marks Input'!$L$4:$L$37)</f>
        <v>98</v>
      </c>
      <c r="G609" s="104">
        <f>MIN('Marks Input'!$L$4:$L$37)</f>
        <v>40</v>
      </c>
      <c r="H609" s="111">
        <f>'Marks Input'!$L$40</f>
        <v>61.09</v>
      </c>
      <c r="I609" s="77">
        <f>'FM-2'!AA20</f>
        <v>11</v>
      </c>
    </row>
    <row r="610" spans="1:9" ht="15" customHeight="1" thickBot="1" x14ac:dyDescent="0.35">
      <c r="A610" s="119" t="str">
        <f>'Marks Input'!$M$2</f>
        <v>Nazra</v>
      </c>
      <c r="B610" s="109">
        <f>'Marks Input'!$M$3</f>
        <v>100</v>
      </c>
      <c r="C610" s="102">
        <f>'FM-2'!Q20</f>
        <v>91</v>
      </c>
      <c r="D610" s="110">
        <f t="shared" si="51"/>
        <v>0.91</v>
      </c>
      <c r="E610" s="79" t="str">
        <f t="shared" si="50"/>
        <v>A+</v>
      </c>
      <c r="F610" s="103">
        <f>MAX('Marks Input'!$M$4:$M$37)</f>
        <v>94</v>
      </c>
      <c r="G610" s="104">
        <f>MIN('Marks Input'!$M$4:$M$37)</f>
        <v>32</v>
      </c>
      <c r="H610" s="111">
        <f>'Marks Input'!$M$40</f>
        <v>57.79</v>
      </c>
      <c r="I610" s="77">
        <f>'FM-2'!AB20</f>
        <v>3</v>
      </c>
    </row>
    <row r="611" spans="1:9" ht="15" customHeight="1" thickBot="1" x14ac:dyDescent="0.35">
      <c r="A611" s="119" t="str">
        <f>'Marks Input'!$N$2</f>
        <v>Physics</v>
      </c>
      <c r="B611" s="109">
        <f>'Marks Input'!$N$3</f>
        <v>100</v>
      </c>
      <c r="C611" s="102">
        <f>'FM-2'!R20</f>
        <v>94</v>
      </c>
      <c r="D611" s="110">
        <f t="shared" si="51"/>
        <v>0.94</v>
      </c>
      <c r="E611" s="79" t="str">
        <f t="shared" si="50"/>
        <v>A+</v>
      </c>
      <c r="F611" s="103">
        <f>MAX('Marks Input'!$N$4:$N$37)</f>
        <v>60</v>
      </c>
      <c r="G611" s="104">
        <f>MIN('Marks Input'!$N$4:$N$37)</f>
        <v>18</v>
      </c>
      <c r="H611" s="111">
        <f>'Marks Input'!$N$40</f>
        <v>42.94</v>
      </c>
      <c r="I611" s="77">
        <f>'FM-2'!AC20</f>
        <v>1</v>
      </c>
    </row>
    <row r="612" spans="1:9" ht="15" customHeight="1" thickBot="1" x14ac:dyDescent="0.35">
      <c r="A612" s="120" t="str">
        <f>'Marks Input'!$O$2</f>
        <v>Bio./Comp.</v>
      </c>
      <c r="B612" s="112">
        <f>'Marks Input'!$O$3</f>
        <v>100</v>
      </c>
      <c r="C612" s="113">
        <f>'FM-2'!S20</f>
        <v>91</v>
      </c>
      <c r="D612" s="114">
        <f>C612/B612</f>
        <v>0.91</v>
      </c>
      <c r="E612" s="80" t="str">
        <f t="shared" si="50"/>
        <v>A+</v>
      </c>
      <c r="F612" s="115">
        <f>MAX('Marks Input'!$O$4:$O$37)</f>
        <v>40</v>
      </c>
      <c r="G612" s="116">
        <f>MIN('Marks Input'!$O$4:$O$37)</f>
        <v>14</v>
      </c>
      <c r="H612" s="117">
        <f>'Marks Input'!$O$40</f>
        <v>30.44</v>
      </c>
      <c r="I612" s="78">
        <f>'FM-2'!AD20</f>
        <v>3</v>
      </c>
    </row>
    <row r="613" spans="1:9" ht="21" customHeight="1" thickBot="1" x14ac:dyDescent="0.45">
      <c r="A613" s="69" t="s">
        <v>14</v>
      </c>
      <c r="B613" s="70">
        <f>'Marks Input'!$P$3</f>
        <v>900</v>
      </c>
      <c r="C613" s="71">
        <f>'FM-2'!U20</f>
        <v>609</v>
      </c>
      <c r="D613" s="72">
        <f t="shared" ref="D613" si="52">C613/B613</f>
        <v>0.67666666666666664</v>
      </c>
      <c r="E613" s="73" t="str">
        <f t="shared" si="50"/>
        <v>C</v>
      </c>
      <c r="F613" s="70">
        <f>MAX('Marks Input'!$P$4:$P$37)</f>
        <v>673</v>
      </c>
      <c r="G613" s="71">
        <f>MIN('Marks Input'!$P$4:$P$37)</f>
        <v>322</v>
      </c>
      <c r="H613" s="74">
        <f>'Marks Input'!$P$40</f>
        <v>493.26</v>
      </c>
      <c r="I613" s="75">
        <f>'FM-2'!AF20</f>
        <v>5</v>
      </c>
    </row>
    <row r="614" spans="1:9" ht="21" customHeight="1" thickBot="1" x14ac:dyDescent="0.35">
      <c r="A614" s="196" t="s">
        <v>15</v>
      </c>
      <c r="B614" s="197"/>
      <c r="C614" s="197"/>
      <c r="H614" s="82"/>
      <c r="I614" s="83"/>
    </row>
    <row r="615" spans="1:9" ht="35.1" customHeight="1" x14ac:dyDescent="0.3">
      <c r="A615" s="198" t="str">
        <f>IF(D613&gt;0.399,"Promoted Successfully","Not Promoted")</f>
        <v>Promoted Successfully</v>
      </c>
      <c r="B615" s="199"/>
      <c r="C615" s="199"/>
      <c r="D615" s="199"/>
      <c r="E615" s="199"/>
      <c r="F615" s="199"/>
      <c r="G615" s="199"/>
      <c r="H615" s="199"/>
      <c r="I615" s="200"/>
    </row>
    <row r="616" spans="1:9" ht="35.1" customHeight="1" thickBot="1" x14ac:dyDescent="0.35">
      <c r="A616" s="201"/>
      <c r="B616" s="202"/>
      <c r="C616" s="202"/>
      <c r="D616" s="202"/>
      <c r="E616" s="202"/>
      <c r="F616" s="202"/>
      <c r="G616" s="202"/>
      <c r="H616" s="202"/>
      <c r="I616" s="203"/>
    </row>
    <row r="617" spans="1:9" ht="30" customHeight="1" x14ac:dyDescent="0.3">
      <c r="A617" s="84"/>
      <c r="B617" s="85"/>
      <c r="C617" s="85"/>
      <c r="D617" s="121" t="s">
        <v>140</v>
      </c>
      <c r="E617" s="86"/>
      <c r="F617" s="86"/>
      <c r="G617" s="204"/>
      <c r="H617" s="204"/>
      <c r="I617" s="205"/>
    </row>
    <row r="618" spans="1:9" ht="30" customHeight="1" x14ac:dyDescent="0.3">
      <c r="A618" s="84"/>
      <c r="D618" s="121" t="s">
        <v>16</v>
      </c>
      <c r="E618" s="86"/>
      <c r="F618" s="86"/>
      <c r="G618" s="206"/>
      <c r="H618" s="206"/>
      <c r="I618" s="207"/>
    </row>
    <row r="619" spans="1:9" ht="15" customHeight="1" x14ac:dyDescent="0.3">
      <c r="A619" s="84"/>
      <c r="F619" s="208" t="str">
        <f>A596</f>
        <v>APS Hazro</v>
      </c>
      <c r="G619" s="208"/>
      <c r="H619" s="208"/>
      <c r="I619" s="209"/>
    </row>
    <row r="620" spans="1:9" ht="15" customHeight="1" thickBot="1" x14ac:dyDescent="0.35">
      <c r="A620" s="210"/>
      <c r="B620" s="211"/>
      <c r="C620" s="211"/>
      <c r="D620" s="211"/>
      <c r="E620" s="211"/>
      <c r="F620" s="211"/>
      <c r="G620" s="211"/>
      <c r="H620" s="211"/>
      <c r="I620" s="212"/>
    </row>
    <row r="621" spans="1:9" ht="15" customHeight="1" x14ac:dyDescent="0.3">
      <c r="A621" s="213"/>
      <c r="B621" s="214"/>
      <c r="C621" s="214"/>
      <c r="D621" s="214"/>
      <c r="E621" s="214"/>
      <c r="F621" s="214"/>
      <c r="G621" s="214"/>
      <c r="H621" s="214"/>
      <c r="I621" s="215"/>
    </row>
    <row r="622" spans="1:9" ht="21" customHeight="1" x14ac:dyDescent="0.35">
      <c r="A622" s="87" t="s">
        <v>17</v>
      </c>
      <c r="B622" s="105">
        <f>H600</f>
        <v>18</v>
      </c>
      <c r="C622" s="88"/>
      <c r="D622" s="89" t="s">
        <v>3</v>
      </c>
      <c r="E622" s="89" t="str">
        <f>E600</f>
        <v>7TH</v>
      </c>
      <c r="F622" s="90" t="s">
        <v>18</v>
      </c>
      <c r="G622" s="216" t="str">
        <f>E613</f>
        <v>C</v>
      </c>
      <c r="H622" s="216"/>
      <c r="I622" s="217"/>
    </row>
    <row r="623" spans="1:9" ht="30" customHeight="1" x14ac:dyDescent="0.3">
      <c r="A623" s="176" t="s">
        <v>210</v>
      </c>
      <c r="B623" s="177"/>
      <c r="C623" s="218"/>
      <c r="D623" s="218"/>
      <c r="E623" s="187" t="s">
        <v>19</v>
      </c>
      <c r="F623" s="187"/>
      <c r="G623" s="219">
        <f>'FM-2'!G20</f>
        <v>3005327404</v>
      </c>
      <c r="H623" s="219"/>
      <c r="I623" s="220"/>
    </row>
    <row r="624" spans="1:9" ht="30" customHeight="1" x14ac:dyDescent="0.3">
      <c r="A624" s="176" t="s">
        <v>20</v>
      </c>
      <c r="B624" s="177"/>
      <c r="C624" s="178"/>
      <c r="D624" s="178"/>
      <c r="E624" s="178"/>
      <c r="F624" s="178"/>
      <c r="G624" s="178"/>
      <c r="H624" s="178"/>
      <c r="I624" s="179"/>
    </row>
    <row r="625" spans="1:9" ht="30" customHeight="1" x14ac:dyDescent="0.3">
      <c r="A625" s="180"/>
      <c r="B625" s="181"/>
      <c r="C625" s="181"/>
      <c r="D625" s="181"/>
      <c r="E625" s="181"/>
      <c r="F625" s="181"/>
      <c r="G625" s="181"/>
      <c r="H625" s="181"/>
      <c r="I625" s="182"/>
    </row>
    <row r="626" spans="1:9" ht="21" customHeight="1" x14ac:dyDescent="0.3">
      <c r="A626" s="183"/>
      <c r="B626" s="184"/>
      <c r="C626" s="184"/>
      <c r="D626" s="184"/>
      <c r="E626" s="184"/>
      <c r="F626" s="184"/>
      <c r="G626" s="184"/>
      <c r="H626" s="184"/>
      <c r="I626" s="185"/>
    </row>
    <row r="627" spans="1:9" ht="21" customHeight="1" x14ac:dyDescent="0.3">
      <c r="A627" s="91" t="s">
        <v>207</v>
      </c>
      <c r="B627" s="186">
        <f ca="1">TODAY()</f>
        <v>46315</v>
      </c>
      <c r="C627" s="186"/>
      <c r="D627" s="187" t="s">
        <v>141</v>
      </c>
      <c r="E627" s="187"/>
      <c r="F627" s="187"/>
      <c r="G627" s="188"/>
      <c r="H627" s="188"/>
      <c r="I627" s="189"/>
    </row>
    <row r="628" spans="1:9" ht="21" customHeight="1" x14ac:dyDescent="0.3">
      <c r="A628" s="190" t="s">
        <v>211</v>
      </c>
      <c r="B628" s="191"/>
      <c r="C628" s="191"/>
      <c r="D628" s="191"/>
      <c r="E628" s="191"/>
      <c r="F628" s="191"/>
      <c r="G628" s="191"/>
      <c r="H628" s="191"/>
      <c r="I628" s="192"/>
    </row>
    <row r="629" spans="1:9" ht="15" customHeight="1" x14ac:dyDescent="0.3">
      <c r="A629" s="190"/>
      <c r="B629" s="191"/>
      <c r="C629" s="191"/>
      <c r="D629" s="191"/>
      <c r="E629" s="191"/>
      <c r="F629" s="191"/>
      <c r="G629" s="191"/>
      <c r="H629" s="191"/>
      <c r="I629" s="192"/>
    </row>
    <row r="630" spans="1:9" ht="15" thickBot="1" x14ac:dyDescent="0.35">
      <c r="A630" s="193"/>
      <c r="B630" s="194"/>
      <c r="C630" s="194"/>
      <c r="D630" s="194"/>
      <c r="E630" s="194"/>
      <c r="F630" s="194"/>
      <c r="G630" s="194"/>
      <c r="H630" s="194"/>
      <c r="I630" s="195"/>
    </row>
    <row r="631" spans="1:9" ht="41.1" customHeight="1" thickBot="1" x14ac:dyDescent="0.35">
      <c r="A631" s="240" t="str">
        <f>'FM-2'!$I$3</f>
        <v>APS Hazro</v>
      </c>
      <c r="B631" s="241"/>
      <c r="C631" s="241"/>
      <c r="D631" s="241"/>
      <c r="E631" s="241"/>
      <c r="F631" s="241"/>
      <c r="G631" s="241"/>
      <c r="H631" s="241"/>
      <c r="I631" s="242"/>
    </row>
    <row r="632" spans="1:9" ht="21" customHeight="1" thickBot="1" x14ac:dyDescent="0.4">
      <c r="A632" s="129" t="str">
        <f>'FM-2'!$J$3</f>
        <v>ANNUAL EXAM 2024</v>
      </c>
      <c r="B632" s="67"/>
      <c r="C632" s="67"/>
      <c r="D632" s="67"/>
      <c r="E632" s="67"/>
      <c r="F632" s="67"/>
      <c r="G632" s="67"/>
      <c r="H632" s="67"/>
      <c r="I632" s="68"/>
    </row>
    <row r="633" spans="1:9" ht="21" customHeight="1" x14ac:dyDescent="0.35">
      <c r="A633" s="122"/>
      <c r="B633" s="123"/>
      <c r="C633" s="123"/>
      <c r="D633" s="123"/>
      <c r="E633" s="123"/>
      <c r="F633" s="123"/>
      <c r="G633" s="123"/>
      <c r="H633" s="123"/>
      <c r="I633" s="124"/>
    </row>
    <row r="634" spans="1:9" ht="21" customHeight="1" x14ac:dyDescent="0.3">
      <c r="A634" s="221" t="s">
        <v>0</v>
      </c>
      <c r="B634" s="222"/>
      <c r="C634" s="98" t="str">
        <f>'FM-2'!E21</f>
        <v>Ali19</v>
      </c>
      <c r="D634" s="98"/>
      <c r="E634" s="98"/>
      <c r="F634" s="222" t="s">
        <v>1</v>
      </c>
      <c r="G634" s="222"/>
      <c r="H634" s="223" t="str">
        <f>'FM-2'!F21</f>
        <v>Khan 19</v>
      </c>
      <c r="I634" s="224"/>
    </row>
    <row r="635" spans="1:9" ht="21" customHeight="1" x14ac:dyDescent="0.3">
      <c r="A635" s="221" t="s">
        <v>2</v>
      </c>
      <c r="B635" s="222"/>
      <c r="C635" s="92">
        <f>'FM-2'!C21</f>
        <v>1018</v>
      </c>
      <c r="D635" s="93" t="s">
        <v>3</v>
      </c>
      <c r="E635" s="92" t="str">
        <f>'FM-2'!$B$3</f>
        <v>7TH</v>
      </c>
      <c r="F635" s="222" t="s">
        <v>4</v>
      </c>
      <c r="G635" s="222"/>
      <c r="H635" s="225">
        <f>'FM-2'!D21</f>
        <v>19</v>
      </c>
      <c r="I635" s="226"/>
    </row>
    <row r="636" spans="1:9" ht="21" customHeight="1" thickBot="1" x14ac:dyDescent="0.35">
      <c r="A636" s="227" t="s">
        <v>206</v>
      </c>
      <c r="B636" s="228"/>
      <c r="C636" s="94">
        <f>COUNTIF('Marks Input'!$B$4:$B$63,"&gt;0")</f>
        <v>34</v>
      </c>
      <c r="D636" s="93"/>
      <c r="E636" s="95"/>
      <c r="F636" s="93"/>
      <c r="G636" s="93"/>
      <c r="H636" s="96"/>
      <c r="I636" s="97"/>
    </row>
    <row r="637" spans="1:9" ht="15.75" customHeight="1" thickBot="1" x14ac:dyDescent="0.35">
      <c r="A637" s="229" t="s">
        <v>5</v>
      </c>
      <c r="B637" s="231" t="s">
        <v>6</v>
      </c>
      <c r="C637" s="233" t="s">
        <v>7</v>
      </c>
      <c r="D637" s="235" t="s">
        <v>209</v>
      </c>
      <c r="E637" s="229" t="s">
        <v>8</v>
      </c>
      <c r="F637" s="237" t="s">
        <v>9</v>
      </c>
      <c r="G637" s="238"/>
      <c r="H637" s="238"/>
      <c r="I637" s="239"/>
    </row>
    <row r="638" spans="1:9" ht="30" customHeight="1" thickBot="1" x14ac:dyDescent="0.35">
      <c r="A638" s="230"/>
      <c r="B638" s="232"/>
      <c r="C638" s="234"/>
      <c r="D638" s="236"/>
      <c r="E638" s="230"/>
      <c r="F638" s="125" t="s">
        <v>10</v>
      </c>
      <c r="G638" s="126" t="s">
        <v>11</v>
      </c>
      <c r="H638" s="127" t="s">
        <v>12</v>
      </c>
      <c r="I638" s="128" t="s">
        <v>208</v>
      </c>
    </row>
    <row r="639" spans="1:9" ht="15" customHeight="1" thickBot="1" x14ac:dyDescent="0.35">
      <c r="A639" s="118" t="str">
        <f>'Marks Input'!$G$2</f>
        <v>Urdu</v>
      </c>
      <c r="B639" s="106">
        <f>'Marks Input'!$G$3</f>
        <v>100</v>
      </c>
      <c r="C639" s="99">
        <f>'FM-2'!K21</f>
        <v>65</v>
      </c>
      <c r="D639" s="107">
        <f>C639/B639</f>
        <v>0.65</v>
      </c>
      <c r="E639" s="79" t="str">
        <f>IF(D639&gt;0.899,"A+",IF(D639&gt;0.799,"A",IF(D639&gt;0.699,"B",IF(D639&gt;0.599,"C",IF(D639&gt;0.499,"D",IF(D639&gt;0.399,"E","F"))))))</f>
        <v>C</v>
      </c>
      <c r="F639" s="100">
        <f>MAX('Marks Input'!$G$4:$G$37)</f>
        <v>72</v>
      </c>
      <c r="G639" s="101">
        <f>MIN('Marks Input'!$G$4:$G$37)</f>
        <v>40</v>
      </c>
      <c r="H639" s="108">
        <f>'Marks Input'!$G$40</f>
        <v>62.59</v>
      </c>
      <c r="I639" s="76">
        <f>'FM-2'!V21</f>
        <v>15</v>
      </c>
    </row>
    <row r="640" spans="1:9" ht="15" customHeight="1" thickBot="1" x14ac:dyDescent="0.35">
      <c r="A640" s="119" t="str">
        <f>'Marks Input'!$H$2</f>
        <v>English</v>
      </c>
      <c r="B640" s="109">
        <f>'Marks Input'!$H$3</f>
        <v>100</v>
      </c>
      <c r="C640" s="102">
        <f>'FM-2'!L21</f>
        <v>33</v>
      </c>
      <c r="D640" s="110">
        <f>C640/B640</f>
        <v>0.33</v>
      </c>
      <c r="E640" s="79" t="str">
        <f t="shared" ref="E640:E648" si="53">IF(D640&gt;0.899,"A+",IF(D640&gt;0.799,"A",IF(D640&gt;0.699,"B",IF(D640&gt;0.599,"C",IF(D640&gt;0.499,"D",IF(D640&gt;0.399,"E","F"))))))</f>
        <v>F</v>
      </c>
      <c r="F640" s="103">
        <f>MAX('Marks Input'!$H$4:$H$37)</f>
        <v>74</v>
      </c>
      <c r="G640" s="104">
        <f>MIN('Marks Input'!$H$4:$H$37)</f>
        <v>30</v>
      </c>
      <c r="H640" s="111">
        <f>'Marks Input'!$H$40</f>
        <v>43.26</v>
      </c>
      <c r="I640" s="77">
        <f>'FM-2'!W21</f>
        <v>19</v>
      </c>
    </row>
    <row r="641" spans="1:9" ht="15" customHeight="1" thickBot="1" x14ac:dyDescent="0.35">
      <c r="A641" s="119" t="str">
        <f>'Marks Input'!$I$2</f>
        <v>Islamiyat</v>
      </c>
      <c r="B641" s="109">
        <f>'Marks Input'!$I$3</f>
        <v>100</v>
      </c>
      <c r="C641" s="102">
        <f>'FM-2'!M21</f>
        <v>59</v>
      </c>
      <c r="D641" s="110">
        <f t="shared" ref="D641:D646" si="54">C641/B641</f>
        <v>0.59</v>
      </c>
      <c r="E641" s="79" t="str">
        <f t="shared" si="53"/>
        <v>D</v>
      </c>
      <c r="F641" s="103">
        <f>MAX('Marks Input'!$I$4:$I$37)</f>
        <v>88</v>
      </c>
      <c r="G641" s="104">
        <f>MIN('Marks Input'!$I$4:$I$37)</f>
        <v>34</v>
      </c>
      <c r="H641" s="111">
        <f>'Marks Input'!$I$40</f>
        <v>48.29</v>
      </c>
      <c r="I641" s="77">
        <f>'FM-2'!X21</f>
        <v>3</v>
      </c>
    </row>
    <row r="642" spans="1:9" ht="15" customHeight="1" thickBot="1" x14ac:dyDescent="0.35">
      <c r="A642" s="119" t="str">
        <f>'Marks Input'!$J$2</f>
        <v>Pak Studies</v>
      </c>
      <c r="B642" s="109">
        <f>'Marks Input'!$J$3</f>
        <v>100</v>
      </c>
      <c r="C642" s="102">
        <f>'FM-2'!N21</f>
        <v>54</v>
      </c>
      <c r="D642" s="110">
        <f t="shared" si="54"/>
        <v>0.54</v>
      </c>
      <c r="E642" s="79" t="str">
        <f t="shared" si="53"/>
        <v>D</v>
      </c>
      <c r="F642" s="103">
        <f>MAX('Marks Input'!$J$4:$J$37)</f>
        <v>96</v>
      </c>
      <c r="G642" s="104">
        <f>MIN('Marks Input'!$J$4:$J$37)</f>
        <v>34</v>
      </c>
      <c r="H642" s="111">
        <f>'Marks Input'!$J$40</f>
        <v>71.03</v>
      </c>
      <c r="I642" s="77">
        <f>'FM-2'!Y21</f>
        <v>19</v>
      </c>
    </row>
    <row r="643" spans="1:9" ht="15" customHeight="1" thickBot="1" x14ac:dyDescent="0.35">
      <c r="A643" s="119" t="str">
        <f>'Marks Input'!$K$2</f>
        <v>Maths</v>
      </c>
      <c r="B643" s="109">
        <f>'Marks Input'!$K$3</f>
        <v>100</v>
      </c>
      <c r="C643" s="102">
        <f>'FM-2'!O21</f>
        <v>36</v>
      </c>
      <c r="D643" s="110">
        <f t="shared" si="54"/>
        <v>0.36</v>
      </c>
      <c r="E643" s="79" t="str">
        <f t="shared" si="53"/>
        <v>F</v>
      </c>
      <c r="F643" s="103">
        <f>MAX('Marks Input'!$K$4:$K$37)</f>
        <v>94</v>
      </c>
      <c r="G643" s="104">
        <f>MIN('Marks Input'!$K$4:$K$37)</f>
        <v>57</v>
      </c>
      <c r="H643" s="111">
        <f>'Marks Input'!$K$40</f>
        <v>75.819999999999993</v>
      </c>
      <c r="I643" s="77">
        <f>'FM-2'!Z21</f>
        <v>27</v>
      </c>
    </row>
    <row r="644" spans="1:9" ht="15" customHeight="1" thickBot="1" x14ac:dyDescent="0.35">
      <c r="A644" s="119" t="str">
        <f>'Marks Input'!$L$2</f>
        <v>Sci./ Che.</v>
      </c>
      <c r="B644" s="109">
        <f>'Marks Input'!$L$3</f>
        <v>100</v>
      </c>
      <c r="C644" s="102">
        <f>'FM-2'!P21</f>
        <v>80</v>
      </c>
      <c r="D644" s="110">
        <f t="shared" si="54"/>
        <v>0.8</v>
      </c>
      <c r="E644" s="79" t="str">
        <f t="shared" si="53"/>
        <v>A</v>
      </c>
      <c r="F644" s="103">
        <f>MAX('Marks Input'!$L$4:$L$37)</f>
        <v>98</v>
      </c>
      <c r="G644" s="104">
        <f>MIN('Marks Input'!$L$4:$L$37)</f>
        <v>40</v>
      </c>
      <c r="H644" s="111">
        <f>'Marks Input'!$L$40</f>
        <v>61.09</v>
      </c>
      <c r="I644" s="77">
        <f>'FM-2'!AA21</f>
        <v>15</v>
      </c>
    </row>
    <row r="645" spans="1:9" ht="15" customHeight="1" thickBot="1" x14ac:dyDescent="0.35">
      <c r="A645" s="119" t="str">
        <f>'Marks Input'!$M$2</f>
        <v>Nazra</v>
      </c>
      <c r="B645" s="109">
        <f>'Marks Input'!$M$3</f>
        <v>100</v>
      </c>
      <c r="C645" s="102">
        <f>'FM-2'!Q21</f>
        <v>56</v>
      </c>
      <c r="D645" s="110">
        <f t="shared" si="54"/>
        <v>0.56000000000000005</v>
      </c>
      <c r="E645" s="79" t="str">
        <f t="shared" si="53"/>
        <v>D</v>
      </c>
      <c r="F645" s="103">
        <f>MAX('Marks Input'!$M$4:$M$37)</f>
        <v>94</v>
      </c>
      <c r="G645" s="104">
        <f>MIN('Marks Input'!$M$4:$M$37)</f>
        <v>32</v>
      </c>
      <c r="H645" s="111">
        <f>'Marks Input'!$M$40</f>
        <v>57.79</v>
      </c>
      <c r="I645" s="77">
        <f>'FM-2'!AB21</f>
        <v>17</v>
      </c>
    </row>
    <row r="646" spans="1:9" ht="15" customHeight="1" thickBot="1" x14ac:dyDescent="0.35">
      <c r="A646" s="119" t="str">
        <f>'Marks Input'!$N$2</f>
        <v>Physics</v>
      </c>
      <c r="B646" s="109">
        <f>'Marks Input'!$N$3</f>
        <v>100</v>
      </c>
      <c r="C646" s="102">
        <f>'FM-2'!R21</f>
        <v>77</v>
      </c>
      <c r="D646" s="110">
        <f t="shared" si="54"/>
        <v>0.77</v>
      </c>
      <c r="E646" s="79" t="str">
        <f t="shared" si="53"/>
        <v>B</v>
      </c>
      <c r="F646" s="103">
        <f>MAX('Marks Input'!$N$4:$N$37)</f>
        <v>60</v>
      </c>
      <c r="G646" s="104">
        <f>MIN('Marks Input'!$N$4:$N$37)</f>
        <v>18</v>
      </c>
      <c r="H646" s="111">
        <f>'Marks Input'!$N$40</f>
        <v>42.94</v>
      </c>
      <c r="I646" s="77">
        <f>'FM-2'!AC21</f>
        <v>11</v>
      </c>
    </row>
    <row r="647" spans="1:9" ht="15" customHeight="1" thickBot="1" x14ac:dyDescent="0.35">
      <c r="A647" s="120" t="str">
        <f>'Marks Input'!$O$2</f>
        <v>Bio./Comp.</v>
      </c>
      <c r="B647" s="112">
        <f>'Marks Input'!$O$3</f>
        <v>100</v>
      </c>
      <c r="C647" s="113">
        <f>'FM-2'!S21</f>
        <v>56</v>
      </c>
      <c r="D647" s="114">
        <f>C647/B647</f>
        <v>0.56000000000000005</v>
      </c>
      <c r="E647" s="80" t="str">
        <f t="shared" si="53"/>
        <v>D</v>
      </c>
      <c r="F647" s="115">
        <f>MAX('Marks Input'!$O$4:$O$37)</f>
        <v>40</v>
      </c>
      <c r="G647" s="116">
        <f>MIN('Marks Input'!$O$4:$O$37)</f>
        <v>14</v>
      </c>
      <c r="H647" s="117">
        <f>'Marks Input'!$O$40</f>
        <v>30.44</v>
      </c>
      <c r="I647" s="78">
        <f>'FM-2'!AD21</f>
        <v>17</v>
      </c>
    </row>
    <row r="648" spans="1:9" ht="21" customHeight="1" thickBot="1" x14ac:dyDescent="0.45">
      <c r="A648" s="69" t="s">
        <v>14</v>
      </c>
      <c r="B648" s="70">
        <f>'Marks Input'!$P$3</f>
        <v>900</v>
      </c>
      <c r="C648" s="71">
        <f>'FM-2'!U21</f>
        <v>496</v>
      </c>
      <c r="D648" s="72">
        <f t="shared" ref="D648" si="55">C648/B648</f>
        <v>0.55111111111111111</v>
      </c>
      <c r="E648" s="73" t="str">
        <f t="shared" si="53"/>
        <v>D</v>
      </c>
      <c r="F648" s="70">
        <f>MAX('Marks Input'!$P$4:$P$37)</f>
        <v>673</v>
      </c>
      <c r="G648" s="71">
        <f>MIN('Marks Input'!$P$4:$P$37)</f>
        <v>322</v>
      </c>
      <c r="H648" s="74">
        <f>'Marks Input'!$P$40</f>
        <v>493.26</v>
      </c>
      <c r="I648" s="75">
        <f>'FM-2'!AF21</f>
        <v>19</v>
      </c>
    </row>
    <row r="649" spans="1:9" ht="21" customHeight="1" thickBot="1" x14ac:dyDescent="0.35">
      <c r="A649" s="196" t="s">
        <v>15</v>
      </c>
      <c r="B649" s="197"/>
      <c r="C649" s="197"/>
      <c r="H649" s="82"/>
      <c r="I649" s="83"/>
    </row>
    <row r="650" spans="1:9" ht="35.1" customHeight="1" x14ac:dyDescent="0.3">
      <c r="A650" s="198" t="str">
        <f>IF(D648&gt;0.399,"Promoted Successfully","Not Promoted")</f>
        <v>Promoted Successfully</v>
      </c>
      <c r="B650" s="199"/>
      <c r="C650" s="199"/>
      <c r="D650" s="199"/>
      <c r="E650" s="199"/>
      <c r="F650" s="199"/>
      <c r="G650" s="199"/>
      <c r="H650" s="199"/>
      <c r="I650" s="200"/>
    </row>
    <row r="651" spans="1:9" ht="35.1" customHeight="1" thickBot="1" x14ac:dyDescent="0.35">
      <c r="A651" s="201"/>
      <c r="B651" s="202"/>
      <c r="C651" s="202"/>
      <c r="D651" s="202"/>
      <c r="E651" s="202"/>
      <c r="F651" s="202"/>
      <c r="G651" s="202"/>
      <c r="H651" s="202"/>
      <c r="I651" s="203"/>
    </row>
    <row r="652" spans="1:9" ht="30" customHeight="1" x14ac:dyDescent="0.3">
      <c r="A652" s="84"/>
      <c r="B652" s="85"/>
      <c r="C652" s="85"/>
      <c r="D652" s="121" t="s">
        <v>140</v>
      </c>
      <c r="E652" s="86"/>
      <c r="F652" s="86"/>
      <c r="G652" s="204"/>
      <c r="H652" s="204"/>
      <c r="I652" s="205"/>
    </row>
    <row r="653" spans="1:9" ht="30" customHeight="1" x14ac:dyDescent="0.3">
      <c r="A653" s="84"/>
      <c r="D653" s="121" t="s">
        <v>16</v>
      </c>
      <c r="E653" s="86"/>
      <c r="F653" s="86"/>
      <c r="G653" s="206"/>
      <c r="H653" s="206"/>
      <c r="I653" s="207"/>
    </row>
    <row r="654" spans="1:9" ht="15" customHeight="1" x14ac:dyDescent="0.3">
      <c r="A654" s="84"/>
      <c r="F654" s="208" t="str">
        <f>A631</f>
        <v>APS Hazro</v>
      </c>
      <c r="G654" s="208"/>
      <c r="H654" s="208"/>
      <c r="I654" s="209"/>
    </row>
    <row r="655" spans="1:9" ht="15" customHeight="1" thickBot="1" x14ac:dyDescent="0.35">
      <c r="A655" s="210"/>
      <c r="B655" s="211"/>
      <c r="C655" s="211"/>
      <c r="D655" s="211"/>
      <c r="E655" s="211"/>
      <c r="F655" s="211"/>
      <c r="G655" s="211"/>
      <c r="H655" s="211"/>
      <c r="I655" s="212"/>
    </row>
    <row r="656" spans="1:9" ht="15" customHeight="1" x14ac:dyDescent="0.3">
      <c r="A656" s="213"/>
      <c r="B656" s="214"/>
      <c r="C656" s="214"/>
      <c r="D656" s="214"/>
      <c r="E656" s="214"/>
      <c r="F656" s="214"/>
      <c r="G656" s="214"/>
      <c r="H656" s="214"/>
      <c r="I656" s="215"/>
    </row>
    <row r="657" spans="1:9" ht="21" customHeight="1" x14ac:dyDescent="0.35">
      <c r="A657" s="87" t="s">
        <v>17</v>
      </c>
      <c r="B657" s="105">
        <f>H635</f>
        <v>19</v>
      </c>
      <c r="C657" s="88"/>
      <c r="D657" s="89" t="s">
        <v>3</v>
      </c>
      <c r="E657" s="89" t="str">
        <f>E635</f>
        <v>7TH</v>
      </c>
      <c r="F657" s="90" t="s">
        <v>18</v>
      </c>
      <c r="G657" s="216" t="str">
        <f>E648</f>
        <v>D</v>
      </c>
      <c r="H657" s="216"/>
      <c r="I657" s="217"/>
    </row>
    <row r="658" spans="1:9" ht="30" customHeight="1" x14ac:dyDescent="0.3">
      <c r="A658" s="176" t="s">
        <v>210</v>
      </c>
      <c r="B658" s="177"/>
      <c r="C658" s="218"/>
      <c r="D658" s="218"/>
      <c r="E658" s="187" t="s">
        <v>19</v>
      </c>
      <c r="F658" s="187"/>
      <c r="G658" s="219">
        <f>'FM-2'!G21</f>
        <v>3005327445</v>
      </c>
      <c r="H658" s="219"/>
      <c r="I658" s="220"/>
    </row>
    <row r="659" spans="1:9" ht="30" customHeight="1" x14ac:dyDescent="0.3">
      <c r="A659" s="176" t="s">
        <v>20</v>
      </c>
      <c r="B659" s="177"/>
      <c r="C659" s="178"/>
      <c r="D659" s="178"/>
      <c r="E659" s="178"/>
      <c r="F659" s="178"/>
      <c r="G659" s="178"/>
      <c r="H659" s="178"/>
      <c r="I659" s="179"/>
    </row>
    <row r="660" spans="1:9" ht="30" customHeight="1" x14ac:dyDescent="0.3">
      <c r="A660" s="180"/>
      <c r="B660" s="181"/>
      <c r="C660" s="181"/>
      <c r="D660" s="181"/>
      <c r="E660" s="181"/>
      <c r="F660" s="181"/>
      <c r="G660" s="181"/>
      <c r="H660" s="181"/>
      <c r="I660" s="182"/>
    </row>
    <row r="661" spans="1:9" ht="21" customHeight="1" x14ac:dyDescent="0.3">
      <c r="A661" s="183"/>
      <c r="B661" s="184"/>
      <c r="C661" s="184"/>
      <c r="D661" s="184"/>
      <c r="E661" s="184"/>
      <c r="F661" s="184"/>
      <c r="G661" s="184"/>
      <c r="H661" s="184"/>
      <c r="I661" s="185"/>
    </row>
    <row r="662" spans="1:9" ht="21" customHeight="1" x14ac:dyDescent="0.3">
      <c r="A662" s="91" t="s">
        <v>207</v>
      </c>
      <c r="B662" s="186">
        <f ca="1">TODAY()</f>
        <v>46315</v>
      </c>
      <c r="C662" s="186"/>
      <c r="D662" s="187" t="s">
        <v>141</v>
      </c>
      <c r="E662" s="187"/>
      <c r="F662" s="187"/>
      <c r="G662" s="188"/>
      <c r="H662" s="188"/>
      <c r="I662" s="189"/>
    </row>
    <row r="663" spans="1:9" ht="21" customHeight="1" x14ac:dyDescent="0.3">
      <c r="A663" s="190" t="s">
        <v>211</v>
      </c>
      <c r="B663" s="191"/>
      <c r="C663" s="191"/>
      <c r="D663" s="191"/>
      <c r="E663" s="191"/>
      <c r="F663" s="191"/>
      <c r="G663" s="191"/>
      <c r="H663" s="191"/>
      <c r="I663" s="192"/>
    </row>
    <row r="664" spans="1:9" ht="15" customHeight="1" x14ac:dyDescent="0.3">
      <c r="A664" s="190"/>
      <c r="B664" s="191"/>
      <c r="C664" s="191"/>
      <c r="D664" s="191"/>
      <c r="E664" s="191"/>
      <c r="F664" s="191"/>
      <c r="G664" s="191"/>
      <c r="H664" s="191"/>
      <c r="I664" s="192"/>
    </row>
    <row r="665" spans="1:9" ht="15" thickBot="1" x14ac:dyDescent="0.35">
      <c r="A665" s="193"/>
      <c r="B665" s="194"/>
      <c r="C665" s="194"/>
      <c r="D665" s="194"/>
      <c r="E665" s="194"/>
      <c r="F665" s="194"/>
      <c r="G665" s="194"/>
      <c r="H665" s="194"/>
      <c r="I665" s="195"/>
    </row>
    <row r="666" spans="1:9" ht="41.1" customHeight="1" thickBot="1" x14ac:dyDescent="0.35">
      <c r="A666" s="240" t="str">
        <f>'FM-2'!$I$3</f>
        <v>APS Hazro</v>
      </c>
      <c r="B666" s="241"/>
      <c r="C666" s="241"/>
      <c r="D666" s="241"/>
      <c r="E666" s="241"/>
      <c r="F666" s="241"/>
      <c r="G666" s="241"/>
      <c r="H666" s="241"/>
      <c r="I666" s="242"/>
    </row>
    <row r="667" spans="1:9" ht="21" customHeight="1" thickBot="1" x14ac:dyDescent="0.4">
      <c r="A667" s="129" t="str">
        <f>'FM-2'!$J$3</f>
        <v>ANNUAL EXAM 2024</v>
      </c>
      <c r="B667" s="67"/>
      <c r="C667" s="67"/>
      <c r="D667" s="67"/>
      <c r="E667" s="67"/>
      <c r="F667" s="67"/>
      <c r="G667" s="67"/>
      <c r="H667" s="67"/>
      <c r="I667" s="68"/>
    </row>
    <row r="668" spans="1:9" ht="21" customHeight="1" x14ac:dyDescent="0.35">
      <c r="A668" s="122"/>
      <c r="B668" s="123"/>
      <c r="C668" s="123"/>
      <c r="D668" s="123"/>
      <c r="E668" s="123"/>
      <c r="F668" s="123"/>
      <c r="G668" s="123"/>
      <c r="H668" s="123"/>
      <c r="I668" s="124"/>
    </row>
    <row r="669" spans="1:9" ht="21" customHeight="1" x14ac:dyDescent="0.3">
      <c r="A669" s="221" t="s">
        <v>0</v>
      </c>
      <c r="B669" s="222"/>
      <c r="C669" s="98" t="str">
        <f>'FM-2'!E22</f>
        <v>Ali20</v>
      </c>
      <c r="D669" s="98"/>
      <c r="E669" s="98"/>
      <c r="F669" s="222" t="s">
        <v>1</v>
      </c>
      <c r="G669" s="222"/>
      <c r="H669" s="223" t="str">
        <f>'FM-2'!F22</f>
        <v>Khan 20</v>
      </c>
      <c r="I669" s="224"/>
    </row>
    <row r="670" spans="1:9" ht="21" customHeight="1" x14ac:dyDescent="0.3">
      <c r="A670" s="221" t="s">
        <v>2</v>
      </c>
      <c r="B670" s="222"/>
      <c r="C670" s="92">
        <f>'FM-2'!C22</f>
        <v>1019</v>
      </c>
      <c r="D670" s="93" t="s">
        <v>3</v>
      </c>
      <c r="E670" s="92" t="str">
        <f>'FM-2'!$B$3</f>
        <v>7TH</v>
      </c>
      <c r="F670" s="222" t="s">
        <v>4</v>
      </c>
      <c r="G670" s="222"/>
      <c r="H670" s="225">
        <f>'FM-2'!D22</f>
        <v>20</v>
      </c>
      <c r="I670" s="226"/>
    </row>
    <row r="671" spans="1:9" ht="21" customHeight="1" thickBot="1" x14ac:dyDescent="0.35">
      <c r="A671" s="227" t="s">
        <v>206</v>
      </c>
      <c r="B671" s="228"/>
      <c r="C671" s="94">
        <f>COUNTIF('Marks Input'!$B$4:$B$63,"&gt;0")</f>
        <v>34</v>
      </c>
      <c r="D671" s="93"/>
      <c r="E671" s="95"/>
      <c r="F671" s="93"/>
      <c r="G671" s="93"/>
      <c r="H671" s="96"/>
      <c r="I671" s="97"/>
    </row>
    <row r="672" spans="1:9" ht="15.75" customHeight="1" thickBot="1" x14ac:dyDescent="0.35">
      <c r="A672" s="229" t="s">
        <v>5</v>
      </c>
      <c r="B672" s="231" t="s">
        <v>6</v>
      </c>
      <c r="C672" s="233" t="s">
        <v>7</v>
      </c>
      <c r="D672" s="235" t="s">
        <v>209</v>
      </c>
      <c r="E672" s="229" t="s">
        <v>8</v>
      </c>
      <c r="F672" s="237" t="s">
        <v>9</v>
      </c>
      <c r="G672" s="238"/>
      <c r="H672" s="238"/>
      <c r="I672" s="239"/>
    </row>
    <row r="673" spans="1:9" ht="30" customHeight="1" thickBot="1" x14ac:dyDescent="0.35">
      <c r="A673" s="230"/>
      <c r="B673" s="232"/>
      <c r="C673" s="234"/>
      <c r="D673" s="236"/>
      <c r="E673" s="230"/>
      <c r="F673" s="125" t="s">
        <v>10</v>
      </c>
      <c r="G673" s="126" t="s">
        <v>11</v>
      </c>
      <c r="H673" s="127" t="s">
        <v>12</v>
      </c>
      <c r="I673" s="128" t="s">
        <v>208</v>
      </c>
    </row>
    <row r="674" spans="1:9" ht="15" customHeight="1" thickBot="1" x14ac:dyDescent="0.35">
      <c r="A674" s="118" t="str">
        <f>'Marks Input'!$G$2</f>
        <v>Urdu</v>
      </c>
      <c r="B674" s="106">
        <f>'Marks Input'!$G$3</f>
        <v>100</v>
      </c>
      <c r="C674" s="99">
        <f>'FM-2'!K22</f>
        <v>45</v>
      </c>
      <c r="D674" s="107">
        <f>C674/B674</f>
        <v>0.45</v>
      </c>
      <c r="E674" s="79" t="str">
        <f>IF(D674&gt;0.899,"A+",IF(D674&gt;0.799,"A",IF(D674&gt;0.699,"B",IF(D674&gt;0.599,"C",IF(D674&gt;0.499,"D",IF(D674&gt;0.399,"E","F"))))))</f>
        <v>E</v>
      </c>
      <c r="F674" s="100">
        <f>MAX('Marks Input'!$G$4:$G$37)</f>
        <v>72</v>
      </c>
      <c r="G674" s="101">
        <f>MIN('Marks Input'!$G$4:$G$37)</f>
        <v>40</v>
      </c>
      <c r="H674" s="108">
        <f>'Marks Input'!$G$40</f>
        <v>62.59</v>
      </c>
      <c r="I674" s="76">
        <f>'FM-2'!V22</f>
        <v>33</v>
      </c>
    </row>
    <row r="675" spans="1:9" ht="15" customHeight="1" thickBot="1" x14ac:dyDescent="0.35">
      <c r="A675" s="119" t="str">
        <f>'Marks Input'!$H$2</f>
        <v>English</v>
      </c>
      <c r="B675" s="109">
        <f>'Marks Input'!$H$3</f>
        <v>100</v>
      </c>
      <c r="C675" s="102">
        <f>'FM-2'!L22</f>
        <v>33</v>
      </c>
      <c r="D675" s="110">
        <f>C675/B675</f>
        <v>0.33</v>
      </c>
      <c r="E675" s="79" t="str">
        <f t="shared" ref="E675:E683" si="56">IF(D675&gt;0.899,"A+",IF(D675&gt;0.799,"A",IF(D675&gt;0.699,"B",IF(D675&gt;0.599,"C",IF(D675&gt;0.499,"D",IF(D675&gt;0.399,"E","F"))))))</f>
        <v>F</v>
      </c>
      <c r="F675" s="103">
        <f>MAX('Marks Input'!$H$4:$H$37)</f>
        <v>74</v>
      </c>
      <c r="G675" s="104">
        <f>MIN('Marks Input'!$H$4:$H$37)</f>
        <v>30</v>
      </c>
      <c r="H675" s="111">
        <f>'Marks Input'!$H$40</f>
        <v>43.26</v>
      </c>
      <c r="I675" s="77">
        <f>'FM-2'!W22</f>
        <v>19</v>
      </c>
    </row>
    <row r="676" spans="1:9" ht="15" customHeight="1" thickBot="1" x14ac:dyDescent="0.35">
      <c r="A676" s="119" t="str">
        <f>'Marks Input'!$I$2</f>
        <v>Islamiyat</v>
      </c>
      <c r="B676" s="109">
        <f>'Marks Input'!$I$3</f>
        <v>100</v>
      </c>
      <c r="C676" s="102">
        <f>'FM-2'!M22</f>
        <v>20</v>
      </c>
      <c r="D676" s="110">
        <f t="shared" ref="D676:D681" si="57">C676/B676</f>
        <v>0.2</v>
      </c>
      <c r="E676" s="79" t="str">
        <f t="shared" si="56"/>
        <v>F</v>
      </c>
      <c r="F676" s="103">
        <f>MAX('Marks Input'!$I$4:$I$37)</f>
        <v>88</v>
      </c>
      <c r="G676" s="104">
        <f>MIN('Marks Input'!$I$4:$I$37)</f>
        <v>34</v>
      </c>
      <c r="H676" s="111">
        <f>'Marks Input'!$I$40</f>
        <v>48.29</v>
      </c>
      <c r="I676" s="77">
        <f>'FM-2'!X22</f>
        <v>29</v>
      </c>
    </row>
    <row r="677" spans="1:9" ht="15" customHeight="1" thickBot="1" x14ac:dyDescent="0.35">
      <c r="A677" s="119" t="str">
        <f>'Marks Input'!$J$2</f>
        <v>Pak Studies</v>
      </c>
      <c r="B677" s="109">
        <f>'Marks Input'!$J$3</f>
        <v>100</v>
      </c>
      <c r="C677" s="102">
        <f>'FM-2'!N22</f>
        <v>44</v>
      </c>
      <c r="D677" s="110">
        <f t="shared" si="57"/>
        <v>0.44</v>
      </c>
      <c r="E677" s="79" t="str">
        <f t="shared" si="56"/>
        <v>E</v>
      </c>
      <c r="F677" s="103">
        <f>MAX('Marks Input'!$J$4:$J$37)</f>
        <v>96</v>
      </c>
      <c r="G677" s="104">
        <f>MIN('Marks Input'!$J$4:$J$37)</f>
        <v>34</v>
      </c>
      <c r="H677" s="111">
        <f>'Marks Input'!$J$40</f>
        <v>71.03</v>
      </c>
      <c r="I677" s="77">
        <f>'FM-2'!Y22</f>
        <v>28</v>
      </c>
    </row>
    <row r="678" spans="1:9" ht="15" customHeight="1" thickBot="1" x14ac:dyDescent="0.35">
      <c r="A678" s="119" t="str">
        <f>'Marks Input'!$K$2</f>
        <v>Maths</v>
      </c>
      <c r="B678" s="109">
        <f>'Marks Input'!$K$3</f>
        <v>100</v>
      </c>
      <c r="C678" s="102">
        <f>'FM-2'!O22</f>
        <v>34</v>
      </c>
      <c r="D678" s="110">
        <f t="shared" si="57"/>
        <v>0.34</v>
      </c>
      <c r="E678" s="79" t="str">
        <f t="shared" si="56"/>
        <v>F</v>
      </c>
      <c r="F678" s="103">
        <f>MAX('Marks Input'!$K$4:$K$37)</f>
        <v>94</v>
      </c>
      <c r="G678" s="104">
        <f>MIN('Marks Input'!$K$4:$K$37)</f>
        <v>57</v>
      </c>
      <c r="H678" s="111">
        <f>'Marks Input'!$K$40</f>
        <v>75.819999999999993</v>
      </c>
      <c r="I678" s="77">
        <f>'FM-2'!Z22</f>
        <v>31</v>
      </c>
    </row>
    <row r="679" spans="1:9" ht="15" customHeight="1" thickBot="1" x14ac:dyDescent="0.35">
      <c r="A679" s="119" t="str">
        <f>'Marks Input'!$L$2</f>
        <v>Sci./ Che.</v>
      </c>
      <c r="B679" s="109">
        <f>'Marks Input'!$L$3</f>
        <v>100</v>
      </c>
      <c r="C679" s="102">
        <f>'FM-2'!P22</f>
        <v>34</v>
      </c>
      <c r="D679" s="110">
        <f t="shared" si="57"/>
        <v>0.34</v>
      </c>
      <c r="E679" s="79" t="str">
        <f t="shared" si="56"/>
        <v>F</v>
      </c>
      <c r="F679" s="103">
        <f>MAX('Marks Input'!$L$4:$L$37)</f>
        <v>98</v>
      </c>
      <c r="G679" s="104">
        <f>MIN('Marks Input'!$L$4:$L$37)</f>
        <v>40</v>
      </c>
      <c r="H679" s="111">
        <f>'Marks Input'!$L$40</f>
        <v>61.09</v>
      </c>
      <c r="I679" s="77">
        <f>'FM-2'!AA22</f>
        <v>34</v>
      </c>
    </row>
    <row r="680" spans="1:9" ht="15" customHeight="1" thickBot="1" x14ac:dyDescent="0.35">
      <c r="A680" s="119" t="str">
        <f>'Marks Input'!$M$2</f>
        <v>Nazra</v>
      </c>
      <c r="B680" s="109">
        <f>'Marks Input'!$M$3</f>
        <v>100</v>
      </c>
      <c r="C680" s="102">
        <f>'FM-2'!Q22</f>
        <v>40</v>
      </c>
      <c r="D680" s="110">
        <f t="shared" si="57"/>
        <v>0.4</v>
      </c>
      <c r="E680" s="79" t="str">
        <f t="shared" si="56"/>
        <v>E</v>
      </c>
      <c r="F680" s="103">
        <f>MAX('Marks Input'!$M$4:$M$37)</f>
        <v>94</v>
      </c>
      <c r="G680" s="104">
        <f>MIN('Marks Input'!$M$4:$M$37)</f>
        <v>32</v>
      </c>
      <c r="H680" s="111">
        <f>'Marks Input'!$M$40</f>
        <v>57.79</v>
      </c>
      <c r="I680" s="77">
        <f>'FM-2'!AB22</f>
        <v>31</v>
      </c>
    </row>
    <row r="681" spans="1:9" ht="15" customHeight="1" thickBot="1" x14ac:dyDescent="0.35">
      <c r="A681" s="119" t="str">
        <f>'Marks Input'!$N$2</f>
        <v>Physics</v>
      </c>
      <c r="B681" s="109">
        <f>'Marks Input'!$N$3</f>
        <v>100</v>
      </c>
      <c r="C681" s="102">
        <f>'FM-2'!R22</f>
        <v>62</v>
      </c>
      <c r="D681" s="110">
        <f t="shared" si="57"/>
        <v>0.62</v>
      </c>
      <c r="E681" s="79" t="str">
        <f t="shared" si="56"/>
        <v>C</v>
      </c>
      <c r="F681" s="103">
        <f>MAX('Marks Input'!$N$4:$N$37)</f>
        <v>60</v>
      </c>
      <c r="G681" s="104">
        <f>MIN('Marks Input'!$N$4:$N$37)</f>
        <v>18</v>
      </c>
      <c r="H681" s="111">
        <f>'Marks Input'!$N$40</f>
        <v>42.94</v>
      </c>
      <c r="I681" s="77">
        <f>'FM-2'!AC22</f>
        <v>30</v>
      </c>
    </row>
    <row r="682" spans="1:9" ht="15" customHeight="1" thickBot="1" x14ac:dyDescent="0.35">
      <c r="A682" s="120" t="str">
        <f>'Marks Input'!$O$2</f>
        <v>Bio./Comp.</v>
      </c>
      <c r="B682" s="112">
        <f>'Marks Input'!$O$3</f>
        <v>100</v>
      </c>
      <c r="C682" s="113">
        <f>'FM-2'!S22</f>
        <v>40</v>
      </c>
      <c r="D682" s="114">
        <f>C682/B682</f>
        <v>0.4</v>
      </c>
      <c r="E682" s="80" t="str">
        <f t="shared" si="56"/>
        <v>E</v>
      </c>
      <c r="F682" s="115">
        <f>MAX('Marks Input'!$O$4:$O$37)</f>
        <v>40</v>
      </c>
      <c r="G682" s="116">
        <f>MIN('Marks Input'!$O$4:$O$37)</f>
        <v>14</v>
      </c>
      <c r="H682" s="117">
        <f>'Marks Input'!$O$40</f>
        <v>30.44</v>
      </c>
      <c r="I682" s="78">
        <f>'FM-2'!AD22</f>
        <v>31</v>
      </c>
    </row>
    <row r="683" spans="1:9" ht="21" customHeight="1" thickBot="1" x14ac:dyDescent="0.45">
      <c r="A683" s="69" t="s">
        <v>14</v>
      </c>
      <c r="B683" s="70">
        <f>'Marks Input'!$P$3</f>
        <v>900</v>
      </c>
      <c r="C683" s="71">
        <f>'FM-2'!U22</f>
        <v>334</v>
      </c>
      <c r="D683" s="72">
        <f t="shared" ref="D683" si="58">C683/B683</f>
        <v>0.37111111111111111</v>
      </c>
      <c r="E683" s="73" t="str">
        <f t="shared" si="56"/>
        <v>F</v>
      </c>
      <c r="F683" s="70">
        <f>MAX('Marks Input'!$P$4:$P$37)</f>
        <v>673</v>
      </c>
      <c r="G683" s="71">
        <f>MIN('Marks Input'!$P$4:$P$37)</f>
        <v>322</v>
      </c>
      <c r="H683" s="74">
        <f>'Marks Input'!$P$40</f>
        <v>493.26</v>
      </c>
      <c r="I683" s="75">
        <f>'FM-2'!AF22</f>
        <v>32</v>
      </c>
    </row>
    <row r="684" spans="1:9" ht="21" customHeight="1" thickBot="1" x14ac:dyDescent="0.35">
      <c r="A684" s="196" t="s">
        <v>15</v>
      </c>
      <c r="B684" s="197"/>
      <c r="C684" s="197"/>
      <c r="H684" s="82"/>
      <c r="I684" s="83"/>
    </row>
    <row r="685" spans="1:9" ht="35.1" customHeight="1" x14ac:dyDescent="0.3">
      <c r="A685" s="198" t="str">
        <f>IF(D683&gt;0.399,"Promoted Successfully","Not Promoted")</f>
        <v>Not Promoted</v>
      </c>
      <c r="B685" s="199"/>
      <c r="C685" s="199"/>
      <c r="D685" s="199"/>
      <c r="E685" s="199"/>
      <c r="F685" s="199"/>
      <c r="G685" s="199"/>
      <c r="H685" s="199"/>
      <c r="I685" s="200"/>
    </row>
    <row r="686" spans="1:9" ht="35.1" customHeight="1" thickBot="1" x14ac:dyDescent="0.35">
      <c r="A686" s="201"/>
      <c r="B686" s="202"/>
      <c r="C686" s="202"/>
      <c r="D686" s="202"/>
      <c r="E686" s="202"/>
      <c r="F686" s="202"/>
      <c r="G686" s="202"/>
      <c r="H686" s="202"/>
      <c r="I686" s="203"/>
    </row>
    <row r="687" spans="1:9" ht="30" customHeight="1" x14ac:dyDescent="0.3">
      <c r="A687" s="84"/>
      <c r="B687" s="85"/>
      <c r="C687" s="85"/>
      <c r="D687" s="121" t="s">
        <v>140</v>
      </c>
      <c r="E687" s="86"/>
      <c r="F687" s="86"/>
      <c r="G687" s="204"/>
      <c r="H687" s="204"/>
      <c r="I687" s="205"/>
    </row>
    <row r="688" spans="1:9" ht="30" customHeight="1" x14ac:dyDescent="0.3">
      <c r="A688" s="84"/>
      <c r="D688" s="121" t="s">
        <v>16</v>
      </c>
      <c r="E688" s="86"/>
      <c r="F688" s="86"/>
      <c r="G688" s="206"/>
      <c r="H688" s="206"/>
      <c r="I688" s="207"/>
    </row>
    <row r="689" spans="1:9" ht="15" customHeight="1" x14ac:dyDescent="0.3">
      <c r="A689" s="84"/>
      <c r="F689" s="208" t="str">
        <f>A666</f>
        <v>APS Hazro</v>
      </c>
      <c r="G689" s="208"/>
      <c r="H689" s="208"/>
      <c r="I689" s="209"/>
    </row>
    <row r="690" spans="1:9" ht="15" customHeight="1" thickBot="1" x14ac:dyDescent="0.35">
      <c r="A690" s="210"/>
      <c r="B690" s="211"/>
      <c r="C690" s="211"/>
      <c r="D690" s="211"/>
      <c r="E690" s="211"/>
      <c r="F690" s="211"/>
      <c r="G690" s="211"/>
      <c r="H690" s="211"/>
      <c r="I690" s="212"/>
    </row>
    <row r="691" spans="1:9" ht="15" customHeight="1" x14ac:dyDescent="0.3">
      <c r="A691" s="213"/>
      <c r="B691" s="214"/>
      <c r="C691" s="214"/>
      <c r="D691" s="214"/>
      <c r="E691" s="214"/>
      <c r="F691" s="214"/>
      <c r="G691" s="214"/>
      <c r="H691" s="214"/>
      <c r="I691" s="215"/>
    </row>
    <row r="692" spans="1:9" ht="21" customHeight="1" x14ac:dyDescent="0.35">
      <c r="A692" s="87" t="s">
        <v>17</v>
      </c>
      <c r="B692" s="105">
        <f>H670</f>
        <v>20</v>
      </c>
      <c r="C692" s="88"/>
      <c r="D692" s="89" t="s">
        <v>3</v>
      </c>
      <c r="E692" s="89" t="str">
        <f>E670</f>
        <v>7TH</v>
      </c>
      <c r="F692" s="90" t="s">
        <v>18</v>
      </c>
      <c r="G692" s="216" t="str">
        <f>E683</f>
        <v>F</v>
      </c>
      <c r="H692" s="216"/>
      <c r="I692" s="217"/>
    </row>
    <row r="693" spans="1:9" ht="30" customHeight="1" x14ac:dyDescent="0.3">
      <c r="A693" s="176" t="s">
        <v>210</v>
      </c>
      <c r="B693" s="177"/>
      <c r="C693" s="218"/>
      <c r="D693" s="218"/>
      <c r="E693" s="187" t="s">
        <v>19</v>
      </c>
      <c r="F693" s="187"/>
      <c r="G693" s="219">
        <f>'FM-2'!G22</f>
        <v>3005327486</v>
      </c>
      <c r="H693" s="219"/>
      <c r="I693" s="220"/>
    </row>
    <row r="694" spans="1:9" ht="30" customHeight="1" x14ac:dyDescent="0.3">
      <c r="A694" s="176" t="s">
        <v>20</v>
      </c>
      <c r="B694" s="177"/>
      <c r="C694" s="178"/>
      <c r="D694" s="178"/>
      <c r="E694" s="178"/>
      <c r="F694" s="178"/>
      <c r="G694" s="178"/>
      <c r="H694" s="178"/>
      <c r="I694" s="179"/>
    </row>
    <row r="695" spans="1:9" ht="30" customHeight="1" x14ac:dyDescent="0.3">
      <c r="A695" s="180"/>
      <c r="B695" s="181"/>
      <c r="C695" s="181"/>
      <c r="D695" s="181"/>
      <c r="E695" s="181"/>
      <c r="F695" s="181"/>
      <c r="G695" s="181"/>
      <c r="H695" s="181"/>
      <c r="I695" s="182"/>
    </row>
    <row r="696" spans="1:9" ht="21" customHeight="1" x14ac:dyDescent="0.3">
      <c r="A696" s="183"/>
      <c r="B696" s="184"/>
      <c r="C696" s="184"/>
      <c r="D696" s="184"/>
      <c r="E696" s="184"/>
      <c r="F696" s="184"/>
      <c r="G696" s="184"/>
      <c r="H696" s="184"/>
      <c r="I696" s="185"/>
    </row>
    <row r="697" spans="1:9" ht="21" customHeight="1" x14ac:dyDescent="0.3">
      <c r="A697" s="91" t="s">
        <v>207</v>
      </c>
      <c r="B697" s="186">
        <f ca="1">TODAY()</f>
        <v>46315</v>
      </c>
      <c r="C697" s="186"/>
      <c r="D697" s="187" t="s">
        <v>141</v>
      </c>
      <c r="E697" s="187"/>
      <c r="F697" s="187"/>
      <c r="G697" s="188"/>
      <c r="H697" s="188"/>
      <c r="I697" s="189"/>
    </row>
    <row r="698" spans="1:9" ht="21" customHeight="1" x14ac:dyDescent="0.3">
      <c r="A698" s="190" t="s">
        <v>211</v>
      </c>
      <c r="B698" s="191"/>
      <c r="C698" s="191"/>
      <c r="D698" s="191"/>
      <c r="E698" s="191"/>
      <c r="F698" s="191"/>
      <c r="G698" s="191"/>
      <c r="H698" s="191"/>
      <c r="I698" s="192"/>
    </row>
    <row r="699" spans="1:9" ht="15" customHeight="1" x14ac:dyDescent="0.3">
      <c r="A699" s="190"/>
      <c r="B699" s="191"/>
      <c r="C699" s="191"/>
      <c r="D699" s="191"/>
      <c r="E699" s="191"/>
      <c r="F699" s="191"/>
      <c r="G699" s="191"/>
      <c r="H699" s="191"/>
      <c r="I699" s="192"/>
    </row>
    <row r="700" spans="1:9" ht="15" thickBot="1" x14ac:dyDescent="0.35">
      <c r="A700" s="193"/>
      <c r="B700" s="194"/>
      <c r="C700" s="194"/>
      <c r="D700" s="194"/>
      <c r="E700" s="194"/>
      <c r="F700" s="194"/>
      <c r="G700" s="194"/>
      <c r="H700" s="194"/>
      <c r="I700" s="195"/>
    </row>
    <row r="701" spans="1:9" ht="41.1" customHeight="1" thickBot="1" x14ac:dyDescent="0.35">
      <c r="A701" s="240" t="str">
        <f>'FM-2'!$I$3</f>
        <v>APS Hazro</v>
      </c>
      <c r="B701" s="241"/>
      <c r="C701" s="241"/>
      <c r="D701" s="241"/>
      <c r="E701" s="241"/>
      <c r="F701" s="241"/>
      <c r="G701" s="241"/>
      <c r="H701" s="241"/>
      <c r="I701" s="242"/>
    </row>
    <row r="702" spans="1:9" ht="21" customHeight="1" thickBot="1" x14ac:dyDescent="0.4">
      <c r="A702" s="129" t="str">
        <f>'FM-2'!$J$3</f>
        <v>ANNUAL EXAM 2024</v>
      </c>
      <c r="B702" s="67"/>
      <c r="C702" s="67"/>
      <c r="D702" s="67"/>
      <c r="E702" s="67"/>
      <c r="F702" s="67"/>
      <c r="G702" s="67"/>
      <c r="H702" s="67"/>
      <c r="I702" s="68"/>
    </row>
    <row r="703" spans="1:9" ht="21" customHeight="1" x14ac:dyDescent="0.35">
      <c r="A703" s="122"/>
      <c r="B703" s="123"/>
      <c r="C703" s="123"/>
      <c r="D703" s="123"/>
      <c r="E703" s="123"/>
      <c r="F703" s="123"/>
      <c r="G703" s="123"/>
      <c r="H703" s="123"/>
      <c r="I703" s="124"/>
    </row>
    <row r="704" spans="1:9" ht="21" customHeight="1" x14ac:dyDescent="0.3">
      <c r="A704" s="221" t="s">
        <v>0</v>
      </c>
      <c r="B704" s="222"/>
      <c r="C704" s="98" t="str">
        <f>'FM-2'!E23</f>
        <v>Ali21</v>
      </c>
      <c r="D704" s="98"/>
      <c r="E704" s="98"/>
      <c r="F704" s="222" t="s">
        <v>1</v>
      </c>
      <c r="G704" s="222"/>
      <c r="H704" s="223" t="str">
        <f>'FM-2'!F23</f>
        <v>Khan 21</v>
      </c>
      <c r="I704" s="224"/>
    </row>
    <row r="705" spans="1:9" ht="21" customHeight="1" x14ac:dyDescent="0.3">
      <c r="A705" s="221" t="s">
        <v>2</v>
      </c>
      <c r="B705" s="222"/>
      <c r="C705" s="92">
        <f>'FM-2'!C23</f>
        <v>1020</v>
      </c>
      <c r="D705" s="93" t="s">
        <v>3</v>
      </c>
      <c r="E705" s="92" t="str">
        <f>'FM-2'!$B$3</f>
        <v>7TH</v>
      </c>
      <c r="F705" s="222" t="s">
        <v>4</v>
      </c>
      <c r="G705" s="222"/>
      <c r="H705" s="225">
        <f>'FM-2'!D23</f>
        <v>21</v>
      </c>
      <c r="I705" s="226"/>
    </row>
    <row r="706" spans="1:9" ht="21" customHeight="1" thickBot="1" x14ac:dyDescent="0.35">
      <c r="A706" s="227" t="s">
        <v>206</v>
      </c>
      <c r="B706" s="228"/>
      <c r="C706" s="94">
        <f>COUNTIF('Marks Input'!$B$4:$B$63,"&gt;0")</f>
        <v>34</v>
      </c>
      <c r="D706" s="93"/>
      <c r="E706" s="95"/>
      <c r="F706" s="93"/>
      <c r="G706" s="93"/>
      <c r="H706" s="96"/>
      <c r="I706" s="97"/>
    </row>
    <row r="707" spans="1:9" ht="15.75" customHeight="1" thickBot="1" x14ac:dyDescent="0.35">
      <c r="A707" s="229" t="s">
        <v>5</v>
      </c>
      <c r="B707" s="231" t="s">
        <v>6</v>
      </c>
      <c r="C707" s="233" t="s">
        <v>7</v>
      </c>
      <c r="D707" s="235" t="s">
        <v>209</v>
      </c>
      <c r="E707" s="229" t="s">
        <v>8</v>
      </c>
      <c r="F707" s="237" t="s">
        <v>9</v>
      </c>
      <c r="G707" s="238"/>
      <c r="H707" s="238"/>
      <c r="I707" s="239"/>
    </row>
    <row r="708" spans="1:9" ht="30" customHeight="1" thickBot="1" x14ac:dyDescent="0.35">
      <c r="A708" s="230"/>
      <c r="B708" s="232"/>
      <c r="C708" s="234"/>
      <c r="D708" s="236"/>
      <c r="E708" s="230"/>
      <c r="F708" s="125" t="s">
        <v>10</v>
      </c>
      <c r="G708" s="126" t="s">
        <v>11</v>
      </c>
      <c r="H708" s="127" t="s">
        <v>12</v>
      </c>
      <c r="I708" s="128" t="s">
        <v>208</v>
      </c>
    </row>
    <row r="709" spans="1:9" ht="15" customHeight="1" thickBot="1" x14ac:dyDescent="0.35">
      <c r="A709" s="118" t="str">
        <f>'Marks Input'!$G$2</f>
        <v>Urdu</v>
      </c>
      <c r="B709" s="106">
        <f>'Marks Input'!$G$3</f>
        <v>100</v>
      </c>
      <c r="C709" s="99">
        <f>'FM-2'!K23</f>
        <v>63</v>
      </c>
      <c r="D709" s="107">
        <f>C709/B709</f>
        <v>0.63</v>
      </c>
      <c r="E709" s="79" t="str">
        <f>IF(D709&gt;0.899,"A+",IF(D709&gt;0.799,"A",IF(D709&gt;0.699,"B",IF(D709&gt;0.599,"C",IF(D709&gt;0.499,"D",IF(D709&gt;0.399,"E","F"))))))</f>
        <v>C</v>
      </c>
      <c r="F709" s="100">
        <f>MAX('Marks Input'!$G$4:$G$37)</f>
        <v>72</v>
      </c>
      <c r="G709" s="101">
        <f>MIN('Marks Input'!$G$4:$G$37)</f>
        <v>40</v>
      </c>
      <c r="H709" s="108">
        <f>'Marks Input'!$G$40</f>
        <v>62.59</v>
      </c>
      <c r="I709" s="76">
        <f>'FM-2'!V23</f>
        <v>22</v>
      </c>
    </row>
    <row r="710" spans="1:9" ht="15" customHeight="1" thickBot="1" x14ac:dyDescent="0.35">
      <c r="A710" s="119" t="str">
        <f>'Marks Input'!$H$2</f>
        <v>English</v>
      </c>
      <c r="B710" s="109">
        <f>'Marks Input'!$H$3</f>
        <v>100</v>
      </c>
      <c r="C710" s="102">
        <f>'FM-2'!L23</f>
        <v>40</v>
      </c>
      <c r="D710" s="110">
        <f>C710/B710</f>
        <v>0.4</v>
      </c>
      <c r="E710" s="79" t="str">
        <f t="shared" ref="E710:E718" si="59">IF(D710&gt;0.899,"A+",IF(D710&gt;0.799,"A",IF(D710&gt;0.699,"B",IF(D710&gt;0.599,"C",IF(D710&gt;0.499,"D",IF(D710&gt;0.399,"E","F"))))))</f>
        <v>E</v>
      </c>
      <c r="F710" s="103">
        <f>MAX('Marks Input'!$H$4:$H$37)</f>
        <v>74</v>
      </c>
      <c r="G710" s="104">
        <f>MIN('Marks Input'!$H$4:$H$37)</f>
        <v>30</v>
      </c>
      <c r="H710" s="111">
        <f>'Marks Input'!$H$40</f>
        <v>43.26</v>
      </c>
      <c r="I710" s="77">
        <f>'FM-2'!W23</f>
        <v>15</v>
      </c>
    </row>
    <row r="711" spans="1:9" ht="15" customHeight="1" thickBot="1" x14ac:dyDescent="0.35">
      <c r="A711" s="119" t="str">
        <f>'Marks Input'!$I$2</f>
        <v>Islamiyat</v>
      </c>
      <c r="B711" s="109">
        <f>'Marks Input'!$I$3</f>
        <v>100</v>
      </c>
      <c r="C711" s="102">
        <f>'FM-2'!M23</f>
        <v>58</v>
      </c>
      <c r="D711" s="110">
        <f t="shared" ref="D711:D716" si="60">C711/B711</f>
        <v>0.57999999999999996</v>
      </c>
      <c r="E711" s="79" t="str">
        <f t="shared" si="59"/>
        <v>D</v>
      </c>
      <c r="F711" s="103">
        <f>MAX('Marks Input'!$I$4:$I$37)</f>
        <v>88</v>
      </c>
      <c r="G711" s="104">
        <f>MIN('Marks Input'!$I$4:$I$37)</f>
        <v>34</v>
      </c>
      <c r="H711" s="111">
        <f>'Marks Input'!$I$40</f>
        <v>48.29</v>
      </c>
      <c r="I711" s="77">
        <f>'FM-2'!X23</f>
        <v>5</v>
      </c>
    </row>
    <row r="712" spans="1:9" ht="15" customHeight="1" thickBot="1" x14ac:dyDescent="0.35">
      <c r="A712" s="119" t="str">
        <f>'Marks Input'!$J$2</f>
        <v>Pak Studies</v>
      </c>
      <c r="B712" s="109">
        <f>'Marks Input'!$J$3</f>
        <v>100</v>
      </c>
      <c r="C712" s="102">
        <f>'FM-2'!N23</f>
        <v>54</v>
      </c>
      <c r="D712" s="110">
        <f t="shared" si="60"/>
        <v>0.54</v>
      </c>
      <c r="E712" s="79" t="str">
        <f t="shared" si="59"/>
        <v>D</v>
      </c>
      <c r="F712" s="103">
        <f>MAX('Marks Input'!$J$4:$J$37)</f>
        <v>96</v>
      </c>
      <c r="G712" s="104">
        <f>MIN('Marks Input'!$J$4:$J$37)</f>
        <v>34</v>
      </c>
      <c r="H712" s="111">
        <f>'Marks Input'!$J$40</f>
        <v>71.03</v>
      </c>
      <c r="I712" s="77">
        <f>'FM-2'!Y23</f>
        <v>19</v>
      </c>
    </row>
    <row r="713" spans="1:9" ht="15" customHeight="1" thickBot="1" x14ac:dyDescent="0.35">
      <c r="A713" s="119" t="str">
        <f>'Marks Input'!$K$2</f>
        <v>Maths</v>
      </c>
      <c r="B713" s="109">
        <f>'Marks Input'!$K$3</f>
        <v>100</v>
      </c>
      <c r="C713" s="102">
        <f>'FM-2'!O23</f>
        <v>60</v>
      </c>
      <c r="D713" s="110">
        <f t="shared" si="60"/>
        <v>0.6</v>
      </c>
      <c r="E713" s="79" t="str">
        <f t="shared" si="59"/>
        <v>C</v>
      </c>
      <c r="F713" s="103">
        <f>MAX('Marks Input'!$K$4:$K$37)</f>
        <v>94</v>
      </c>
      <c r="G713" s="104">
        <f>MIN('Marks Input'!$K$4:$K$37)</f>
        <v>57</v>
      </c>
      <c r="H713" s="111">
        <f>'Marks Input'!$K$40</f>
        <v>75.819999999999993</v>
      </c>
      <c r="I713" s="77">
        <f>'FM-2'!Z23</f>
        <v>4</v>
      </c>
    </row>
    <row r="714" spans="1:9" ht="15" customHeight="1" thickBot="1" x14ac:dyDescent="0.35">
      <c r="A714" s="119" t="str">
        <f>'Marks Input'!$L$2</f>
        <v>Sci./ Che.</v>
      </c>
      <c r="B714" s="109">
        <f>'Marks Input'!$L$3</f>
        <v>100</v>
      </c>
      <c r="C714" s="102">
        <f>'FM-2'!P23</f>
        <v>96</v>
      </c>
      <c r="D714" s="110">
        <f t="shared" si="60"/>
        <v>0.96</v>
      </c>
      <c r="E714" s="79" t="str">
        <f t="shared" si="59"/>
        <v>A+</v>
      </c>
      <c r="F714" s="103">
        <f>MAX('Marks Input'!$L$4:$L$37)</f>
        <v>98</v>
      </c>
      <c r="G714" s="104">
        <f>MIN('Marks Input'!$L$4:$L$37)</f>
        <v>40</v>
      </c>
      <c r="H714" s="111">
        <f>'Marks Input'!$L$40</f>
        <v>61.09</v>
      </c>
      <c r="I714" s="77">
        <f>'FM-2'!AA23</f>
        <v>1</v>
      </c>
    </row>
    <row r="715" spans="1:9" ht="15" customHeight="1" thickBot="1" x14ac:dyDescent="0.35">
      <c r="A715" s="119" t="str">
        <f>'Marks Input'!$M$2</f>
        <v>Nazra</v>
      </c>
      <c r="B715" s="109">
        <f>'Marks Input'!$M$3</f>
        <v>100</v>
      </c>
      <c r="C715" s="102">
        <f>'FM-2'!Q23</f>
        <v>61</v>
      </c>
      <c r="D715" s="110">
        <f t="shared" si="60"/>
        <v>0.61</v>
      </c>
      <c r="E715" s="79" t="str">
        <f t="shared" si="59"/>
        <v>C</v>
      </c>
      <c r="F715" s="103">
        <f>MAX('Marks Input'!$M$4:$M$37)</f>
        <v>94</v>
      </c>
      <c r="G715" s="104">
        <f>MIN('Marks Input'!$M$4:$M$37)</f>
        <v>32</v>
      </c>
      <c r="H715" s="111">
        <f>'Marks Input'!$M$40</f>
        <v>57.79</v>
      </c>
      <c r="I715" s="77">
        <f>'FM-2'!AB23</f>
        <v>10</v>
      </c>
    </row>
    <row r="716" spans="1:9" ht="15" customHeight="1" thickBot="1" x14ac:dyDescent="0.35">
      <c r="A716" s="119" t="str">
        <f>'Marks Input'!$N$2</f>
        <v>Physics</v>
      </c>
      <c r="B716" s="109">
        <f>'Marks Input'!$N$3</f>
        <v>100</v>
      </c>
      <c r="C716" s="102">
        <f>'FM-2'!R23</f>
        <v>76</v>
      </c>
      <c r="D716" s="110">
        <f t="shared" si="60"/>
        <v>0.76</v>
      </c>
      <c r="E716" s="79" t="str">
        <f t="shared" si="59"/>
        <v>B</v>
      </c>
      <c r="F716" s="103">
        <f>MAX('Marks Input'!$N$4:$N$37)</f>
        <v>60</v>
      </c>
      <c r="G716" s="104">
        <f>MIN('Marks Input'!$N$4:$N$37)</f>
        <v>18</v>
      </c>
      <c r="H716" s="111">
        <f>'Marks Input'!$N$40</f>
        <v>42.94</v>
      </c>
      <c r="I716" s="77">
        <f>'FM-2'!AC23</f>
        <v>14</v>
      </c>
    </row>
    <row r="717" spans="1:9" ht="15" customHeight="1" thickBot="1" x14ac:dyDescent="0.35">
      <c r="A717" s="120" t="str">
        <f>'Marks Input'!$O$2</f>
        <v>Bio./Comp.</v>
      </c>
      <c r="B717" s="112">
        <f>'Marks Input'!$O$3</f>
        <v>100</v>
      </c>
      <c r="C717" s="113">
        <f>'FM-2'!S23</f>
        <v>61</v>
      </c>
      <c r="D717" s="114">
        <f>C717/B717</f>
        <v>0.61</v>
      </c>
      <c r="E717" s="80" t="str">
        <f t="shared" si="59"/>
        <v>C</v>
      </c>
      <c r="F717" s="115">
        <f>MAX('Marks Input'!$O$4:$O$37)</f>
        <v>40</v>
      </c>
      <c r="G717" s="116">
        <f>MIN('Marks Input'!$O$4:$O$37)</f>
        <v>14</v>
      </c>
      <c r="H717" s="117">
        <f>'Marks Input'!$O$40</f>
        <v>30.44</v>
      </c>
      <c r="I717" s="78">
        <f>'FM-2'!AD23</f>
        <v>10</v>
      </c>
    </row>
    <row r="718" spans="1:9" ht="21" customHeight="1" thickBot="1" x14ac:dyDescent="0.45">
      <c r="A718" s="69" t="s">
        <v>14</v>
      </c>
      <c r="B718" s="70">
        <f>'Marks Input'!$P$3</f>
        <v>900</v>
      </c>
      <c r="C718" s="71">
        <f>'FM-2'!U23</f>
        <v>548</v>
      </c>
      <c r="D718" s="72">
        <f t="shared" ref="D718" si="61">C718/B718</f>
        <v>0.60888888888888892</v>
      </c>
      <c r="E718" s="73" t="str">
        <f t="shared" si="59"/>
        <v>C</v>
      </c>
      <c r="F718" s="70">
        <f>MAX('Marks Input'!$P$4:$P$37)</f>
        <v>673</v>
      </c>
      <c r="G718" s="71">
        <f>MIN('Marks Input'!$P$4:$P$37)</f>
        <v>322</v>
      </c>
      <c r="H718" s="74">
        <f>'Marks Input'!$P$40</f>
        <v>493.26</v>
      </c>
      <c r="I718" s="75">
        <f>'FM-2'!AF23</f>
        <v>10</v>
      </c>
    </row>
    <row r="719" spans="1:9" ht="21" customHeight="1" thickBot="1" x14ac:dyDescent="0.35">
      <c r="A719" s="196" t="s">
        <v>15</v>
      </c>
      <c r="B719" s="197"/>
      <c r="C719" s="197"/>
      <c r="H719" s="82"/>
      <c r="I719" s="83"/>
    </row>
    <row r="720" spans="1:9" ht="35.1" customHeight="1" x14ac:dyDescent="0.3">
      <c r="A720" s="198" t="str">
        <f>IF(D718&gt;0.399,"Promoted Successfully","Not Promoted")</f>
        <v>Promoted Successfully</v>
      </c>
      <c r="B720" s="199"/>
      <c r="C720" s="199"/>
      <c r="D720" s="199"/>
      <c r="E720" s="199"/>
      <c r="F720" s="199"/>
      <c r="G720" s="199"/>
      <c r="H720" s="199"/>
      <c r="I720" s="200"/>
    </row>
    <row r="721" spans="1:9" ht="35.1" customHeight="1" thickBot="1" x14ac:dyDescent="0.35">
      <c r="A721" s="201"/>
      <c r="B721" s="202"/>
      <c r="C721" s="202"/>
      <c r="D721" s="202"/>
      <c r="E721" s="202"/>
      <c r="F721" s="202"/>
      <c r="G721" s="202"/>
      <c r="H721" s="202"/>
      <c r="I721" s="203"/>
    </row>
    <row r="722" spans="1:9" ht="30" customHeight="1" x14ac:dyDescent="0.3">
      <c r="A722" s="84"/>
      <c r="B722" s="85"/>
      <c r="C722" s="85"/>
      <c r="D722" s="121" t="s">
        <v>140</v>
      </c>
      <c r="E722" s="86"/>
      <c r="F722" s="86"/>
      <c r="G722" s="204"/>
      <c r="H722" s="204"/>
      <c r="I722" s="205"/>
    </row>
    <row r="723" spans="1:9" ht="30" customHeight="1" x14ac:dyDescent="0.3">
      <c r="A723" s="84"/>
      <c r="D723" s="121" t="s">
        <v>16</v>
      </c>
      <c r="E723" s="86"/>
      <c r="F723" s="86"/>
      <c r="G723" s="206"/>
      <c r="H723" s="206"/>
      <c r="I723" s="207"/>
    </row>
    <row r="724" spans="1:9" ht="15" customHeight="1" x14ac:dyDescent="0.3">
      <c r="A724" s="84"/>
      <c r="F724" s="208" t="str">
        <f>A701</f>
        <v>APS Hazro</v>
      </c>
      <c r="G724" s="208"/>
      <c r="H724" s="208"/>
      <c r="I724" s="209"/>
    </row>
    <row r="725" spans="1:9" ht="15" customHeight="1" thickBot="1" x14ac:dyDescent="0.35">
      <c r="A725" s="210"/>
      <c r="B725" s="211"/>
      <c r="C725" s="211"/>
      <c r="D725" s="211"/>
      <c r="E725" s="211"/>
      <c r="F725" s="211"/>
      <c r="G725" s="211"/>
      <c r="H725" s="211"/>
      <c r="I725" s="212"/>
    </row>
    <row r="726" spans="1:9" ht="15" customHeight="1" x14ac:dyDescent="0.3">
      <c r="A726" s="213"/>
      <c r="B726" s="214"/>
      <c r="C726" s="214"/>
      <c r="D726" s="214"/>
      <c r="E726" s="214"/>
      <c r="F726" s="214"/>
      <c r="G726" s="214"/>
      <c r="H726" s="214"/>
      <c r="I726" s="215"/>
    </row>
    <row r="727" spans="1:9" ht="21" customHeight="1" x14ac:dyDescent="0.35">
      <c r="A727" s="87" t="s">
        <v>17</v>
      </c>
      <c r="B727" s="105">
        <f>H705</f>
        <v>21</v>
      </c>
      <c r="C727" s="88"/>
      <c r="D727" s="89" t="s">
        <v>3</v>
      </c>
      <c r="E727" s="89" t="str">
        <f>E705</f>
        <v>7TH</v>
      </c>
      <c r="F727" s="90" t="s">
        <v>18</v>
      </c>
      <c r="G727" s="216" t="str">
        <f>E718</f>
        <v>C</v>
      </c>
      <c r="H727" s="216"/>
      <c r="I727" s="217"/>
    </row>
    <row r="728" spans="1:9" ht="30" customHeight="1" x14ac:dyDescent="0.3">
      <c r="A728" s="176" t="s">
        <v>210</v>
      </c>
      <c r="B728" s="177"/>
      <c r="C728" s="218"/>
      <c r="D728" s="218"/>
      <c r="E728" s="187" t="s">
        <v>19</v>
      </c>
      <c r="F728" s="187"/>
      <c r="G728" s="219">
        <f>'FM-2'!G23</f>
        <v>3005327527</v>
      </c>
      <c r="H728" s="219"/>
      <c r="I728" s="220"/>
    </row>
    <row r="729" spans="1:9" ht="30" customHeight="1" x14ac:dyDescent="0.3">
      <c r="A729" s="176" t="s">
        <v>20</v>
      </c>
      <c r="B729" s="177"/>
      <c r="C729" s="178"/>
      <c r="D729" s="178"/>
      <c r="E729" s="178"/>
      <c r="F729" s="178"/>
      <c r="G729" s="178"/>
      <c r="H729" s="178"/>
      <c r="I729" s="179"/>
    </row>
    <row r="730" spans="1:9" ht="30" customHeight="1" x14ac:dyDescent="0.3">
      <c r="A730" s="180"/>
      <c r="B730" s="181"/>
      <c r="C730" s="181"/>
      <c r="D730" s="181"/>
      <c r="E730" s="181"/>
      <c r="F730" s="181"/>
      <c r="G730" s="181"/>
      <c r="H730" s="181"/>
      <c r="I730" s="182"/>
    </row>
    <row r="731" spans="1:9" ht="21" customHeight="1" x14ac:dyDescent="0.3">
      <c r="A731" s="183"/>
      <c r="B731" s="184"/>
      <c r="C731" s="184"/>
      <c r="D731" s="184"/>
      <c r="E731" s="184"/>
      <c r="F731" s="184"/>
      <c r="G731" s="184"/>
      <c r="H731" s="184"/>
      <c r="I731" s="185"/>
    </row>
    <row r="732" spans="1:9" ht="21" customHeight="1" x14ac:dyDescent="0.3">
      <c r="A732" s="91" t="s">
        <v>207</v>
      </c>
      <c r="B732" s="186">
        <f ca="1">TODAY()</f>
        <v>46315</v>
      </c>
      <c r="C732" s="186"/>
      <c r="D732" s="187" t="s">
        <v>141</v>
      </c>
      <c r="E732" s="187"/>
      <c r="F732" s="187"/>
      <c r="G732" s="188"/>
      <c r="H732" s="188"/>
      <c r="I732" s="189"/>
    </row>
    <row r="733" spans="1:9" ht="21" customHeight="1" x14ac:dyDescent="0.3">
      <c r="A733" s="190" t="s">
        <v>211</v>
      </c>
      <c r="B733" s="191"/>
      <c r="C733" s="191"/>
      <c r="D733" s="191"/>
      <c r="E733" s="191"/>
      <c r="F733" s="191"/>
      <c r="G733" s="191"/>
      <c r="H733" s="191"/>
      <c r="I733" s="192"/>
    </row>
    <row r="734" spans="1:9" ht="15" customHeight="1" x14ac:dyDescent="0.3">
      <c r="A734" s="190"/>
      <c r="B734" s="191"/>
      <c r="C734" s="191"/>
      <c r="D734" s="191"/>
      <c r="E734" s="191"/>
      <c r="F734" s="191"/>
      <c r="G734" s="191"/>
      <c r="H734" s="191"/>
      <c r="I734" s="192"/>
    </row>
    <row r="735" spans="1:9" ht="15" thickBot="1" x14ac:dyDescent="0.35">
      <c r="A735" s="193"/>
      <c r="B735" s="194"/>
      <c r="C735" s="194"/>
      <c r="D735" s="194"/>
      <c r="E735" s="194"/>
      <c r="F735" s="194"/>
      <c r="G735" s="194"/>
      <c r="H735" s="194"/>
      <c r="I735" s="195"/>
    </row>
    <row r="736" spans="1:9" ht="41.1" customHeight="1" thickBot="1" x14ac:dyDescent="0.35">
      <c r="A736" s="240" t="str">
        <f>'FM-2'!$I$3</f>
        <v>APS Hazro</v>
      </c>
      <c r="B736" s="241"/>
      <c r="C736" s="241"/>
      <c r="D736" s="241"/>
      <c r="E736" s="241"/>
      <c r="F736" s="241"/>
      <c r="G736" s="241"/>
      <c r="H736" s="241"/>
      <c r="I736" s="242"/>
    </row>
    <row r="737" spans="1:9" ht="21" customHeight="1" thickBot="1" x14ac:dyDescent="0.4">
      <c r="A737" s="129" t="str">
        <f>'FM-2'!$J$3</f>
        <v>ANNUAL EXAM 2024</v>
      </c>
      <c r="B737" s="67"/>
      <c r="C737" s="67"/>
      <c r="D737" s="67"/>
      <c r="E737" s="67"/>
      <c r="F737" s="67"/>
      <c r="G737" s="67"/>
      <c r="H737" s="67"/>
      <c r="I737" s="68"/>
    </row>
    <row r="738" spans="1:9" ht="21" customHeight="1" x14ac:dyDescent="0.35">
      <c r="A738" s="122"/>
      <c r="B738" s="123"/>
      <c r="C738" s="123"/>
      <c r="D738" s="123"/>
      <c r="E738" s="123"/>
      <c r="F738" s="123"/>
      <c r="G738" s="123"/>
      <c r="H738" s="123"/>
      <c r="I738" s="124"/>
    </row>
    <row r="739" spans="1:9" ht="21" customHeight="1" x14ac:dyDescent="0.3">
      <c r="A739" s="221" t="s">
        <v>0</v>
      </c>
      <c r="B739" s="222"/>
      <c r="C739" s="98" t="str">
        <f>'FM-2'!E24</f>
        <v>Ali22</v>
      </c>
      <c r="D739" s="98"/>
      <c r="E739" s="98"/>
      <c r="F739" s="222" t="s">
        <v>1</v>
      </c>
      <c r="G739" s="222"/>
      <c r="H739" s="223" t="str">
        <f>'FM-2'!F24</f>
        <v>Khan 22</v>
      </c>
      <c r="I739" s="224"/>
    </row>
    <row r="740" spans="1:9" ht="21" customHeight="1" x14ac:dyDescent="0.3">
      <c r="A740" s="221" t="s">
        <v>2</v>
      </c>
      <c r="B740" s="222"/>
      <c r="C740" s="92">
        <f>'FM-2'!C24</f>
        <v>1021</v>
      </c>
      <c r="D740" s="93" t="s">
        <v>3</v>
      </c>
      <c r="E740" s="92" t="str">
        <f>'FM-2'!$B$3</f>
        <v>7TH</v>
      </c>
      <c r="F740" s="222" t="s">
        <v>4</v>
      </c>
      <c r="G740" s="222"/>
      <c r="H740" s="225">
        <f>'FM-2'!D24</f>
        <v>22</v>
      </c>
      <c r="I740" s="226"/>
    </row>
    <row r="741" spans="1:9" ht="21" customHeight="1" thickBot="1" x14ac:dyDescent="0.35">
      <c r="A741" s="227" t="s">
        <v>206</v>
      </c>
      <c r="B741" s="228"/>
      <c r="C741" s="94">
        <f>COUNTIF('Marks Input'!$B$4:$B$63,"&gt;0")</f>
        <v>34</v>
      </c>
      <c r="D741" s="93"/>
      <c r="E741" s="95"/>
      <c r="F741" s="93"/>
      <c r="G741" s="93"/>
      <c r="H741" s="96"/>
      <c r="I741" s="97"/>
    </row>
    <row r="742" spans="1:9" ht="15.75" customHeight="1" thickBot="1" x14ac:dyDescent="0.35">
      <c r="A742" s="229" t="s">
        <v>5</v>
      </c>
      <c r="B742" s="231" t="s">
        <v>6</v>
      </c>
      <c r="C742" s="233" t="s">
        <v>7</v>
      </c>
      <c r="D742" s="235" t="s">
        <v>209</v>
      </c>
      <c r="E742" s="229" t="s">
        <v>8</v>
      </c>
      <c r="F742" s="237" t="s">
        <v>9</v>
      </c>
      <c r="G742" s="238"/>
      <c r="H742" s="238"/>
      <c r="I742" s="239"/>
    </row>
    <row r="743" spans="1:9" ht="30" customHeight="1" thickBot="1" x14ac:dyDescent="0.35">
      <c r="A743" s="230"/>
      <c r="B743" s="232"/>
      <c r="C743" s="234"/>
      <c r="D743" s="236"/>
      <c r="E743" s="230"/>
      <c r="F743" s="125" t="s">
        <v>10</v>
      </c>
      <c r="G743" s="126" t="s">
        <v>11</v>
      </c>
      <c r="H743" s="127" t="s">
        <v>12</v>
      </c>
      <c r="I743" s="128" t="s">
        <v>208</v>
      </c>
    </row>
    <row r="744" spans="1:9" ht="15" customHeight="1" thickBot="1" x14ac:dyDescent="0.35">
      <c r="A744" s="118" t="str">
        <f>'Marks Input'!$G$2</f>
        <v>Urdu</v>
      </c>
      <c r="B744" s="106">
        <f>'Marks Input'!$G$3</f>
        <v>100</v>
      </c>
      <c r="C744" s="99">
        <f>'FM-2'!K24</f>
        <v>72</v>
      </c>
      <c r="D744" s="107">
        <f>C744/B744</f>
        <v>0.72</v>
      </c>
      <c r="E744" s="79" t="str">
        <f>IF(D744&gt;0.899,"A+",IF(D744&gt;0.799,"A",IF(D744&gt;0.699,"B",IF(D744&gt;0.599,"C",IF(D744&gt;0.499,"D",IF(D744&gt;0.399,"E","F"))))))</f>
        <v>B</v>
      </c>
      <c r="F744" s="100">
        <f>MAX('Marks Input'!$G$4:$G$37)</f>
        <v>72</v>
      </c>
      <c r="G744" s="101">
        <f>MIN('Marks Input'!$G$4:$G$37)</f>
        <v>40</v>
      </c>
      <c r="H744" s="108">
        <f>'Marks Input'!$G$40</f>
        <v>62.59</v>
      </c>
      <c r="I744" s="76">
        <f>'FM-2'!V24</f>
        <v>1</v>
      </c>
    </row>
    <row r="745" spans="1:9" ht="15" customHeight="1" thickBot="1" x14ac:dyDescent="0.35">
      <c r="A745" s="119" t="str">
        <f>'Marks Input'!$H$2</f>
        <v>English</v>
      </c>
      <c r="B745" s="109">
        <f>'Marks Input'!$H$3</f>
        <v>100</v>
      </c>
      <c r="C745" s="102">
        <f>'FM-2'!L24</f>
        <v>65</v>
      </c>
      <c r="D745" s="110">
        <f>C745/B745</f>
        <v>0.65</v>
      </c>
      <c r="E745" s="79" t="str">
        <f t="shared" ref="E745:E753" si="62">IF(D745&gt;0.899,"A+",IF(D745&gt;0.799,"A",IF(D745&gt;0.699,"B",IF(D745&gt;0.599,"C",IF(D745&gt;0.499,"D",IF(D745&gt;0.399,"E","F"))))))</f>
        <v>C</v>
      </c>
      <c r="F745" s="103">
        <f>MAX('Marks Input'!$H$4:$H$37)</f>
        <v>74</v>
      </c>
      <c r="G745" s="104">
        <f>MIN('Marks Input'!$H$4:$H$37)</f>
        <v>30</v>
      </c>
      <c r="H745" s="111">
        <f>'Marks Input'!$H$40</f>
        <v>43.26</v>
      </c>
      <c r="I745" s="77">
        <f>'FM-2'!W24</f>
        <v>2</v>
      </c>
    </row>
    <row r="746" spans="1:9" ht="15" customHeight="1" thickBot="1" x14ac:dyDescent="0.35">
      <c r="A746" s="119" t="str">
        <f>'Marks Input'!$I$2</f>
        <v>Islamiyat</v>
      </c>
      <c r="B746" s="109">
        <f>'Marks Input'!$I$3</f>
        <v>100</v>
      </c>
      <c r="C746" s="102">
        <f>'FM-2'!M24</f>
        <v>52</v>
      </c>
      <c r="D746" s="110">
        <f t="shared" ref="D746:D751" si="63">C746/B746</f>
        <v>0.52</v>
      </c>
      <c r="E746" s="79" t="str">
        <f t="shared" si="62"/>
        <v>D</v>
      </c>
      <c r="F746" s="103">
        <f>MAX('Marks Input'!$I$4:$I$37)</f>
        <v>88</v>
      </c>
      <c r="G746" s="104">
        <f>MIN('Marks Input'!$I$4:$I$37)</f>
        <v>34</v>
      </c>
      <c r="H746" s="111">
        <f>'Marks Input'!$I$40</f>
        <v>48.29</v>
      </c>
      <c r="I746" s="77">
        <f>'FM-2'!X24</f>
        <v>12</v>
      </c>
    </row>
    <row r="747" spans="1:9" ht="15" customHeight="1" thickBot="1" x14ac:dyDescent="0.35">
      <c r="A747" s="119" t="str">
        <f>'Marks Input'!$J$2</f>
        <v>Pak Studies</v>
      </c>
      <c r="B747" s="109">
        <f>'Marks Input'!$J$3</f>
        <v>100</v>
      </c>
      <c r="C747" s="102">
        <f>'FM-2'!N24</f>
        <v>98</v>
      </c>
      <c r="D747" s="110">
        <f t="shared" si="63"/>
        <v>0.98</v>
      </c>
      <c r="E747" s="79" t="str">
        <f t="shared" si="62"/>
        <v>A+</v>
      </c>
      <c r="F747" s="103">
        <f>MAX('Marks Input'!$J$4:$J$37)</f>
        <v>96</v>
      </c>
      <c r="G747" s="104">
        <f>MIN('Marks Input'!$J$4:$J$37)</f>
        <v>34</v>
      </c>
      <c r="H747" s="111">
        <f>'Marks Input'!$J$40</f>
        <v>71.03</v>
      </c>
      <c r="I747" s="77">
        <f>'FM-2'!Y24</f>
        <v>1</v>
      </c>
    </row>
    <row r="748" spans="1:9" ht="15" customHeight="1" thickBot="1" x14ac:dyDescent="0.35">
      <c r="A748" s="119" t="str">
        <f>'Marks Input'!$K$2</f>
        <v>Maths</v>
      </c>
      <c r="B748" s="109">
        <f>'Marks Input'!$K$3</f>
        <v>100</v>
      </c>
      <c r="C748" s="102">
        <f>'FM-2'!O24</f>
        <v>56</v>
      </c>
      <c r="D748" s="110">
        <f t="shared" si="63"/>
        <v>0.56000000000000005</v>
      </c>
      <c r="E748" s="79" t="str">
        <f t="shared" si="62"/>
        <v>D</v>
      </c>
      <c r="F748" s="103">
        <f>MAX('Marks Input'!$K$4:$K$37)</f>
        <v>94</v>
      </c>
      <c r="G748" s="104">
        <f>MIN('Marks Input'!$K$4:$K$37)</f>
        <v>57</v>
      </c>
      <c r="H748" s="111">
        <f>'Marks Input'!$K$40</f>
        <v>75.819999999999993</v>
      </c>
      <c r="I748" s="77">
        <f>'FM-2'!Z24</f>
        <v>10</v>
      </c>
    </row>
    <row r="749" spans="1:9" ht="15" customHeight="1" thickBot="1" x14ac:dyDescent="0.35">
      <c r="A749" s="119" t="str">
        <f>'Marks Input'!$L$2</f>
        <v>Sci./ Che.</v>
      </c>
      <c r="B749" s="109">
        <f>'Marks Input'!$L$3</f>
        <v>100</v>
      </c>
      <c r="C749" s="102">
        <f>'FM-2'!P24</f>
        <v>96</v>
      </c>
      <c r="D749" s="110">
        <f t="shared" si="63"/>
        <v>0.96</v>
      </c>
      <c r="E749" s="79" t="str">
        <f t="shared" si="62"/>
        <v>A+</v>
      </c>
      <c r="F749" s="103">
        <f>MAX('Marks Input'!$L$4:$L$37)</f>
        <v>98</v>
      </c>
      <c r="G749" s="104">
        <f>MIN('Marks Input'!$L$4:$L$37)</f>
        <v>40</v>
      </c>
      <c r="H749" s="111">
        <f>'Marks Input'!$L$40</f>
        <v>61.09</v>
      </c>
      <c r="I749" s="77">
        <f>'FM-2'!AA24</f>
        <v>1</v>
      </c>
    </row>
    <row r="750" spans="1:9" ht="15" customHeight="1" thickBot="1" x14ac:dyDescent="0.35">
      <c r="A750" s="119" t="str">
        <f>'Marks Input'!$M$2</f>
        <v>Nazra</v>
      </c>
      <c r="B750" s="109">
        <f>'Marks Input'!$M$3</f>
        <v>100</v>
      </c>
      <c r="C750" s="102">
        <f>'FM-2'!Q24</f>
        <v>81</v>
      </c>
      <c r="D750" s="110">
        <f t="shared" si="63"/>
        <v>0.81</v>
      </c>
      <c r="E750" s="79" t="str">
        <f t="shared" si="62"/>
        <v>A</v>
      </c>
      <c r="F750" s="103">
        <f>MAX('Marks Input'!$M$4:$M$37)</f>
        <v>94</v>
      </c>
      <c r="G750" s="104">
        <f>MIN('Marks Input'!$M$4:$M$37)</f>
        <v>32</v>
      </c>
      <c r="H750" s="111">
        <f>'Marks Input'!$M$40</f>
        <v>57.79</v>
      </c>
      <c r="I750" s="77">
        <f>'FM-2'!AB24</f>
        <v>4</v>
      </c>
    </row>
    <row r="751" spans="1:9" ht="15" customHeight="1" thickBot="1" x14ac:dyDescent="0.35">
      <c r="A751" s="119" t="str">
        <f>'Marks Input'!$N$2</f>
        <v>Physics</v>
      </c>
      <c r="B751" s="109">
        <f>'Marks Input'!$N$3</f>
        <v>100</v>
      </c>
      <c r="C751" s="102">
        <f>'FM-2'!R24</f>
        <v>94</v>
      </c>
      <c r="D751" s="110">
        <f t="shared" si="63"/>
        <v>0.94</v>
      </c>
      <c r="E751" s="79" t="str">
        <f t="shared" si="62"/>
        <v>A+</v>
      </c>
      <c r="F751" s="103">
        <f>MAX('Marks Input'!$N$4:$N$37)</f>
        <v>60</v>
      </c>
      <c r="G751" s="104">
        <f>MIN('Marks Input'!$N$4:$N$37)</f>
        <v>18</v>
      </c>
      <c r="H751" s="111">
        <f>'Marks Input'!$N$40</f>
        <v>42.94</v>
      </c>
      <c r="I751" s="77">
        <f>'FM-2'!AC24</f>
        <v>1</v>
      </c>
    </row>
    <row r="752" spans="1:9" ht="15" customHeight="1" thickBot="1" x14ac:dyDescent="0.35">
      <c r="A752" s="120" t="str">
        <f>'Marks Input'!$O$2</f>
        <v>Bio./Comp.</v>
      </c>
      <c r="B752" s="112">
        <f>'Marks Input'!$O$3</f>
        <v>100</v>
      </c>
      <c r="C752" s="113">
        <f>'FM-2'!S24</f>
        <v>81</v>
      </c>
      <c r="D752" s="114">
        <f>C752/B752</f>
        <v>0.81</v>
      </c>
      <c r="E752" s="80" t="str">
        <f t="shared" si="62"/>
        <v>A</v>
      </c>
      <c r="F752" s="115">
        <f>MAX('Marks Input'!$O$4:$O$37)</f>
        <v>40</v>
      </c>
      <c r="G752" s="116">
        <f>MIN('Marks Input'!$O$4:$O$37)</f>
        <v>14</v>
      </c>
      <c r="H752" s="117">
        <f>'Marks Input'!$O$40</f>
        <v>30.44</v>
      </c>
      <c r="I752" s="78">
        <f>'FM-2'!AD24</f>
        <v>4</v>
      </c>
    </row>
    <row r="753" spans="1:9" ht="21" customHeight="1" thickBot="1" x14ac:dyDescent="0.45">
      <c r="A753" s="69" t="s">
        <v>14</v>
      </c>
      <c r="B753" s="70">
        <f>'Marks Input'!$P$3</f>
        <v>900</v>
      </c>
      <c r="C753" s="71">
        <f>'FM-2'!U24</f>
        <v>654</v>
      </c>
      <c r="D753" s="72">
        <f t="shared" ref="D753" si="64">C753/B753</f>
        <v>0.72666666666666668</v>
      </c>
      <c r="E753" s="73" t="str">
        <f t="shared" si="62"/>
        <v>B</v>
      </c>
      <c r="F753" s="70">
        <f>MAX('Marks Input'!$P$4:$P$37)</f>
        <v>673</v>
      </c>
      <c r="G753" s="71">
        <f>MIN('Marks Input'!$P$4:$P$37)</f>
        <v>322</v>
      </c>
      <c r="H753" s="74">
        <f>'Marks Input'!$P$40</f>
        <v>493.26</v>
      </c>
      <c r="I753" s="75">
        <f>'FM-2'!AF24</f>
        <v>3</v>
      </c>
    </row>
    <row r="754" spans="1:9" ht="21" customHeight="1" thickBot="1" x14ac:dyDescent="0.35">
      <c r="A754" s="196" t="s">
        <v>15</v>
      </c>
      <c r="B754" s="197"/>
      <c r="C754" s="197"/>
      <c r="H754" s="82"/>
      <c r="I754" s="83"/>
    </row>
    <row r="755" spans="1:9" ht="35.1" customHeight="1" x14ac:dyDescent="0.3">
      <c r="A755" s="198" t="str">
        <f>IF(D753&gt;0.399,"Promoted","Not Promoted")</f>
        <v>Promoted</v>
      </c>
      <c r="B755" s="199"/>
      <c r="C755" s="199"/>
      <c r="D755" s="199"/>
      <c r="E755" s="199"/>
      <c r="F755" s="199"/>
      <c r="G755" s="199"/>
      <c r="H755" s="199"/>
      <c r="I755" s="200"/>
    </row>
    <row r="756" spans="1:9" ht="35.1" customHeight="1" thickBot="1" x14ac:dyDescent="0.35">
      <c r="A756" s="201"/>
      <c r="B756" s="202"/>
      <c r="C756" s="202"/>
      <c r="D756" s="202"/>
      <c r="E756" s="202"/>
      <c r="F756" s="202"/>
      <c r="G756" s="202"/>
      <c r="H756" s="202"/>
      <c r="I756" s="203"/>
    </row>
    <row r="757" spans="1:9" ht="30" customHeight="1" x14ac:dyDescent="0.3">
      <c r="A757" s="84"/>
      <c r="B757" s="85"/>
      <c r="C757" s="85"/>
      <c r="D757" s="121" t="s">
        <v>140</v>
      </c>
      <c r="E757" s="86"/>
      <c r="F757" s="86"/>
      <c r="G757" s="204"/>
      <c r="H757" s="204"/>
      <c r="I757" s="205"/>
    </row>
    <row r="758" spans="1:9" ht="30" customHeight="1" x14ac:dyDescent="0.3">
      <c r="A758" s="84"/>
      <c r="D758" s="121" t="s">
        <v>16</v>
      </c>
      <c r="E758" s="86"/>
      <c r="F758" s="86"/>
      <c r="G758" s="206"/>
      <c r="H758" s="206"/>
      <c r="I758" s="207"/>
    </row>
    <row r="759" spans="1:9" ht="15" customHeight="1" x14ac:dyDescent="0.3">
      <c r="A759" s="84"/>
      <c r="F759" s="208" t="str">
        <f>A736</f>
        <v>APS Hazro</v>
      </c>
      <c r="G759" s="208"/>
      <c r="H759" s="208"/>
      <c r="I759" s="209"/>
    </row>
    <row r="760" spans="1:9" ht="15" customHeight="1" thickBot="1" x14ac:dyDescent="0.35">
      <c r="A760" s="210"/>
      <c r="B760" s="211"/>
      <c r="C760" s="211"/>
      <c r="D760" s="211"/>
      <c r="E760" s="211"/>
      <c r="F760" s="211"/>
      <c r="G760" s="211"/>
      <c r="H760" s="211"/>
      <c r="I760" s="212"/>
    </row>
    <row r="761" spans="1:9" ht="15" customHeight="1" x14ac:dyDescent="0.3">
      <c r="A761" s="213"/>
      <c r="B761" s="214"/>
      <c r="C761" s="214"/>
      <c r="D761" s="214"/>
      <c r="E761" s="214"/>
      <c r="F761" s="214"/>
      <c r="G761" s="214"/>
      <c r="H761" s="214"/>
      <c r="I761" s="215"/>
    </row>
    <row r="762" spans="1:9" ht="21" customHeight="1" x14ac:dyDescent="0.35">
      <c r="A762" s="87" t="s">
        <v>17</v>
      </c>
      <c r="B762" s="105">
        <f>H740</f>
        <v>22</v>
      </c>
      <c r="C762" s="88"/>
      <c r="D762" s="89" t="s">
        <v>3</v>
      </c>
      <c r="E762" s="89" t="str">
        <f>E740</f>
        <v>7TH</v>
      </c>
      <c r="F762" s="90" t="s">
        <v>18</v>
      </c>
      <c r="G762" s="216" t="str">
        <f>E753</f>
        <v>B</v>
      </c>
      <c r="H762" s="216"/>
      <c r="I762" s="217"/>
    </row>
    <row r="763" spans="1:9" ht="30" customHeight="1" x14ac:dyDescent="0.3">
      <c r="A763" s="176" t="s">
        <v>210</v>
      </c>
      <c r="B763" s="177"/>
      <c r="C763" s="218"/>
      <c r="D763" s="218"/>
      <c r="E763" s="187" t="s">
        <v>19</v>
      </c>
      <c r="F763" s="187"/>
      <c r="G763" s="219">
        <f>'FM-2'!G24</f>
        <v>3005327568</v>
      </c>
      <c r="H763" s="219"/>
      <c r="I763" s="220"/>
    </row>
    <row r="764" spans="1:9" ht="30" customHeight="1" x14ac:dyDescent="0.3">
      <c r="A764" s="176" t="s">
        <v>20</v>
      </c>
      <c r="B764" s="177"/>
      <c r="C764" s="178"/>
      <c r="D764" s="178"/>
      <c r="E764" s="178"/>
      <c r="F764" s="178"/>
      <c r="G764" s="178"/>
      <c r="H764" s="178"/>
      <c r="I764" s="179"/>
    </row>
    <row r="765" spans="1:9" ht="30" customHeight="1" x14ac:dyDescent="0.3">
      <c r="A765" s="180"/>
      <c r="B765" s="181"/>
      <c r="C765" s="181"/>
      <c r="D765" s="181"/>
      <c r="E765" s="181"/>
      <c r="F765" s="181"/>
      <c r="G765" s="181"/>
      <c r="H765" s="181"/>
      <c r="I765" s="182"/>
    </row>
    <row r="766" spans="1:9" ht="21" customHeight="1" x14ac:dyDescent="0.3">
      <c r="A766" s="183"/>
      <c r="B766" s="184"/>
      <c r="C766" s="184"/>
      <c r="D766" s="184"/>
      <c r="E766" s="184"/>
      <c r="F766" s="184"/>
      <c r="G766" s="184"/>
      <c r="H766" s="184"/>
      <c r="I766" s="185"/>
    </row>
    <row r="767" spans="1:9" ht="21" customHeight="1" x14ac:dyDescent="0.3">
      <c r="A767" s="91" t="s">
        <v>207</v>
      </c>
      <c r="B767" s="186">
        <f ca="1">TODAY()</f>
        <v>46315</v>
      </c>
      <c r="C767" s="186"/>
      <c r="D767" s="187" t="s">
        <v>141</v>
      </c>
      <c r="E767" s="187"/>
      <c r="F767" s="187"/>
      <c r="G767" s="188"/>
      <c r="H767" s="188"/>
      <c r="I767" s="189"/>
    </row>
    <row r="768" spans="1:9" ht="21" customHeight="1" x14ac:dyDescent="0.3">
      <c r="A768" s="190" t="s">
        <v>211</v>
      </c>
      <c r="B768" s="191"/>
      <c r="C768" s="191"/>
      <c r="D768" s="191"/>
      <c r="E768" s="191"/>
      <c r="F768" s="191"/>
      <c r="G768" s="191"/>
      <c r="H768" s="191"/>
      <c r="I768" s="192"/>
    </row>
    <row r="769" spans="1:9" ht="15" customHeight="1" x14ac:dyDescent="0.3">
      <c r="A769" s="190"/>
      <c r="B769" s="191"/>
      <c r="C769" s="191"/>
      <c r="D769" s="191"/>
      <c r="E769" s="191"/>
      <c r="F769" s="191"/>
      <c r="G769" s="191"/>
      <c r="H769" s="191"/>
      <c r="I769" s="192"/>
    </row>
    <row r="770" spans="1:9" ht="15" thickBot="1" x14ac:dyDescent="0.35">
      <c r="A770" s="193"/>
      <c r="B770" s="194"/>
      <c r="C770" s="194"/>
      <c r="D770" s="194"/>
      <c r="E770" s="194"/>
      <c r="F770" s="194"/>
      <c r="G770" s="194"/>
      <c r="H770" s="194"/>
      <c r="I770" s="195"/>
    </row>
    <row r="771" spans="1:9" ht="41.1" customHeight="1" thickBot="1" x14ac:dyDescent="0.35">
      <c r="A771" s="240" t="str">
        <f>'FM-2'!$I$3</f>
        <v>APS Hazro</v>
      </c>
      <c r="B771" s="241"/>
      <c r="C771" s="241"/>
      <c r="D771" s="241"/>
      <c r="E771" s="241"/>
      <c r="F771" s="241"/>
      <c r="G771" s="241"/>
      <c r="H771" s="241"/>
      <c r="I771" s="242"/>
    </row>
    <row r="772" spans="1:9" ht="21" customHeight="1" thickBot="1" x14ac:dyDescent="0.4">
      <c r="A772" s="129" t="str">
        <f>'FM-2'!$J$3</f>
        <v>ANNUAL EXAM 2024</v>
      </c>
      <c r="B772" s="67"/>
      <c r="C772" s="67"/>
      <c r="D772" s="67"/>
      <c r="E772" s="67"/>
      <c r="F772" s="67"/>
      <c r="G772" s="67"/>
      <c r="H772" s="67"/>
      <c r="I772" s="68"/>
    </row>
    <row r="773" spans="1:9" ht="21" customHeight="1" x14ac:dyDescent="0.35">
      <c r="A773" s="122"/>
      <c r="B773" s="123"/>
      <c r="C773" s="123"/>
      <c r="D773" s="123"/>
      <c r="E773" s="123"/>
      <c r="F773" s="123"/>
      <c r="G773" s="123"/>
      <c r="H773" s="123"/>
      <c r="I773" s="124"/>
    </row>
    <row r="774" spans="1:9" ht="21" customHeight="1" x14ac:dyDescent="0.3">
      <c r="A774" s="221" t="s">
        <v>0</v>
      </c>
      <c r="B774" s="222"/>
      <c r="C774" s="98" t="str">
        <f>'FM-2'!E25</f>
        <v>Ali23</v>
      </c>
      <c r="D774" s="98"/>
      <c r="E774" s="98"/>
      <c r="F774" s="222" t="s">
        <v>1</v>
      </c>
      <c r="G774" s="222"/>
      <c r="H774" s="223" t="str">
        <f>'FM-2'!F25</f>
        <v>Khan 23</v>
      </c>
      <c r="I774" s="224"/>
    </row>
    <row r="775" spans="1:9" ht="21" customHeight="1" x14ac:dyDescent="0.3">
      <c r="A775" s="221" t="s">
        <v>2</v>
      </c>
      <c r="B775" s="222"/>
      <c r="C775" s="92">
        <f>'FM-2'!C25</f>
        <v>1022</v>
      </c>
      <c r="D775" s="93" t="s">
        <v>3</v>
      </c>
      <c r="E775" s="92" t="str">
        <f>'FM-2'!$B$3</f>
        <v>7TH</v>
      </c>
      <c r="F775" s="222" t="s">
        <v>4</v>
      </c>
      <c r="G775" s="222"/>
      <c r="H775" s="225">
        <f>'FM-2'!D25</f>
        <v>23</v>
      </c>
      <c r="I775" s="226"/>
    </row>
    <row r="776" spans="1:9" ht="21" customHeight="1" thickBot="1" x14ac:dyDescent="0.35">
      <c r="A776" s="227" t="s">
        <v>206</v>
      </c>
      <c r="B776" s="228"/>
      <c r="C776" s="94">
        <f>COUNTIF('Marks Input'!$B$4:$B$63,"&gt;0")</f>
        <v>34</v>
      </c>
      <c r="D776" s="93"/>
      <c r="E776" s="95"/>
      <c r="F776" s="93"/>
      <c r="G776" s="93"/>
      <c r="H776" s="96"/>
      <c r="I776" s="97"/>
    </row>
    <row r="777" spans="1:9" ht="15.75" customHeight="1" thickBot="1" x14ac:dyDescent="0.35">
      <c r="A777" s="229" t="s">
        <v>5</v>
      </c>
      <c r="B777" s="231" t="s">
        <v>6</v>
      </c>
      <c r="C777" s="233" t="s">
        <v>7</v>
      </c>
      <c r="D777" s="235" t="s">
        <v>209</v>
      </c>
      <c r="E777" s="229" t="s">
        <v>8</v>
      </c>
      <c r="F777" s="237" t="s">
        <v>9</v>
      </c>
      <c r="G777" s="238"/>
      <c r="H777" s="238"/>
      <c r="I777" s="239"/>
    </row>
    <row r="778" spans="1:9" ht="30" customHeight="1" thickBot="1" x14ac:dyDescent="0.35">
      <c r="A778" s="230"/>
      <c r="B778" s="232"/>
      <c r="C778" s="234"/>
      <c r="D778" s="236"/>
      <c r="E778" s="230"/>
      <c r="F778" s="125" t="s">
        <v>10</v>
      </c>
      <c r="G778" s="126" t="s">
        <v>11</v>
      </c>
      <c r="H778" s="127" t="s">
        <v>12</v>
      </c>
      <c r="I778" s="128" t="s">
        <v>208</v>
      </c>
    </row>
    <row r="779" spans="1:9" ht="15" customHeight="1" thickBot="1" x14ac:dyDescent="0.35">
      <c r="A779" s="118" t="str">
        <f>'Marks Input'!$G$2</f>
        <v>Urdu</v>
      </c>
      <c r="B779" s="106">
        <f>'Marks Input'!$G$3</f>
        <v>100</v>
      </c>
      <c r="C779" s="99">
        <f>'FM-2'!K25</f>
        <v>67</v>
      </c>
      <c r="D779" s="107">
        <f>C779/B779</f>
        <v>0.67</v>
      </c>
      <c r="E779" s="79" t="str">
        <f>IF(D779&gt;0.899,"A+",IF(D779&gt;0.799,"A",IF(D779&gt;0.699,"B",IF(D779&gt;0.599,"C",IF(D779&gt;0.499,"D",IF(D779&gt;0.399,"E","F"))))))</f>
        <v>C</v>
      </c>
      <c r="F779" s="100">
        <f>MAX('Marks Input'!$G$4:$G$37)</f>
        <v>72</v>
      </c>
      <c r="G779" s="101">
        <f>MIN('Marks Input'!$G$4:$G$37)</f>
        <v>40</v>
      </c>
      <c r="H779" s="108">
        <f>'Marks Input'!$G$40</f>
        <v>62.59</v>
      </c>
      <c r="I779" s="76">
        <f>'FM-2'!V25</f>
        <v>14</v>
      </c>
    </row>
    <row r="780" spans="1:9" ht="15" customHeight="1" thickBot="1" x14ac:dyDescent="0.35">
      <c r="A780" s="119" t="str">
        <f>'Marks Input'!$H$2</f>
        <v>English</v>
      </c>
      <c r="B780" s="109">
        <f>'Marks Input'!$H$3</f>
        <v>100</v>
      </c>
      <c r="C780" s="102">
        <f>'FM-2'!L25</f>
        <v>42</v>
      </c>
      <c r="D780" s="110">
        <f>C780/B780</f>
        <v>0.42</v>
      </c>
      <c r="E780" s="79" t="str">
        <f t="shared" ref="E780:E788" si="65">IF(D780&gt;0.899,"A+",IF(D780&gt;0.799,"A",IF(D780&gt;0.699,"B",IF(D780&gt;0.599,"C",IF(D780&gt;0.499,"D",IF(D780&gt;0.399,"E","F"))))))</f>
        <v>E</v>
      </c>
      <c r="F780" s="103">
        <f>MAX('Marks Input'!$H$4:$H$37)</f>
        <v>74</v>
      </c>
      <c r="G780" s="104">
        <f>MIN('Marks Input'!$H$4:$H$37)</f>
        <v>30</v>
      </c>
      <c r="H780" s="111">
        <f>'Marks Input'!$H$40</f>
        <v>43.26</v>
      </c>
      <c r="I780" s="77">
        <f>'FM-2'!W25</f>
        <v>14</v>
      </c>
    </row>
    <row r="781" spans="1:9" ht="15" customHeight="1" thickBot="1" x14ac:dyDescent="0.35">
      <c r="A781" s="119" t="str">
        <f>'Marks Input'!$I$2</f>
        <v>Islamiyat</v>
      </c>
      <c r="B781" s="109">
        <f>'Marks Input'!$I$3</f>
        <v>100</v>
      </c>
      <c r="C781" s="102">
        <f>'FM-2'!M25</f>
        <v>41</v>
      </c>
      <c r="D781" s="110">
        <f t="shared" ref="D781:D786" si="66">C781/B781</f>
        <v>0.41</v>
      </c>
      <c r="E781" s="79" t="str">
        <f t="shared" si="65"/>
        <v>E</v>
      </c>
      <c r="F781" s="103">
        <f>MAX('Marks Input'!$I$4:$I$37)</f>
        <v>88</v>
      </c>
      <c r="G781" s="104">
        <f>MIN('Marks Input'!$I$4:$I$37)</f>
        <v>34</v>
      </c>
      <c r="H781" s="111">
        <f>'Marks Input'!$I$40</f>
        <v>48.29</v>
      </c>
      <c r="I781" s="77">
        <f>'FM-2'!X25</f>
        <v>21</v>
      </c>
    </row>
    <row r="782" spans="1:9" ht="15" customHeight="1" thickBot="1" x14ac:dyDescent="0.35">
      <c r="A782" s="119" t="str">
        <f>'Marks Input'!$J$2</f>
        <v>Pak Studies</v>
      </c>
      <c r="B782" s="109">
        <f>'Marks Input'!$J$3</f>
        <v>100</v>
      </c>
      <c r="C782" s="102">
        <f>'FM-2'!N25</f>
        <v>46</v>
      </c>
      <c r="D782" s="110">
        <f t="shared" si="66"/>
        <v>0.46</v>
      </c>
      <c r="E782" s="79" t="str">
        <f t="shared" si="65"/>
        <v>E</v>
      </c>
      <c r="F782" s="103">
        <f>MAX('Marks Input'!$J$4:$J$37)</f>
        <v>96</v>
      </c>
      <c r="G782" s="104">
        <f>MIN('Marks Input'!$J$4:$J$37)</f>
        <v>34</v>
      </c>
      <c r="H782" s="111">
        <f>'Marks Input'!$J$40</f>
        <v>71.03</v>
      </c>
      <c r="I782" s="77">
        <f>'FM-2'!Y25</f>
        <v>27</v>
      </c>
    </row>
    <row r="783" spans="1:9" ht="15" customHeight="1" thickBot="1" x14ac:dyDescent="0.35">
      <c r="A783" s="119" t="str">
        <f>'Marks Input'!$K$2</f>
        <v>Maths</v>
      </c>
      <c r="B783" s="109">
        <f>'Marks Input'!$K$3</f>
        <v>100</v>
      </c>
      <c r="C783" s="102">
        <f>'FM-2'!O25</f>
        <v>60</v>
      </c>
      <c r="D783" s="110">
        <f t="shared" si="66"/>
        <v>0.6</v>
      </c>
      <c r="E783" s="79" t="str">
        <f t="shared" si="65"/>
        <v>C</v>
      </c>
      <c r="F783" s="103">
        <f>MAX('Marks Input'!$K$4:$K$37)</f>
        <v>94</v>
      </c>
      <c r="G783" s="104">
        <f>MIN('Marks Input'!$K$4:$K$37)</f>
        <v>57</v>
      </c>
      <c r="H783" s="111">
        <f>'Marks Input'!$K$40</f>
        <v>75.819999999999993</v>
      </c>
      <c r="I783" s="77">
        <f>'FM-2'!Z25</f>
        <v>4</v>
      </c>
    </row>
    <row r="784" spans="1:9" ht="15" customHeight="1" thickBot="1" x14ac:dyDescent="0.35">
      <c r="A784" s="119" t="str">
        <f>'Marks Input'!$L$2</f>
        <v>Sci./ Che.</v>
      </c>
      <c r="B784" s="109">
        <f>'Marks Input'!$L$3</f>
        <v>100</v>
      </c>
      <c r="C784" s="102">
        <f>'FM-2'!P25</f>
        <v>78</v>
      </c>
      <c r="D784" s="110">
        <f t="shared" si="66"/>
        <v>0.78</v>
      </c>
      <c r="E784" s="79" t="str">
        <f t="shared" si="65"/>
        <v>B</v>
      </c>
      <c r="F784" s="103">
        <f>MAX('Marks Input'!$L$4:$L$37)</f>
        <v>98</v>
      </c>
      <c r="G784" s="104">
        <f>MIN('Marks Input'!$L$4:$L$37)</f>
        <v>40</v>
      </c>
      <c r="H784" s="111">
        <f>'Marks Input'!$L$40</f>
        <v>61.09</v>
      </c>
      <c r="I784" s="77">
        <f>'FM-2'!AA25</f>
        <v>16</v>
      </c>
    </row>
    <row r="785" spans="1:9" ht="15" customHeight="1" thickBot="1" x14ac:dyDescent="0.35">
      <c r="A785" s="119" t="str">
        <f>'Marks Input'!$M$2</f>
        <v>Nazra</v>
      </c>
      <c r="B785" s="109">
        <f>'Marks Input'!$M$3</f>
        <v>100</v>
      </c>
      <c r="C785" s="102">
        <f>'FM-2'!Q25</f>
        <v>49</v>
      </c>
      <c r="D785" s="110">
        <f t="shared" si="66"/>
        <v>0.49</v>
      </c>
      <c r="E785" s="79" t="str">
        <f t="shared" si="65"/>
        <v>E</v>
      </c>
      <c r="F785" s="103">
        <f>MAX('Marks Input'!$M$4:$M$37)</f>
        <v>94</v>
      </c>
      <c r="G785" s="104">
        <f>MIN('Marks Input'!$M$4:$M$37)</f>
        <v>32</v>
      </c>
      <c r="H785" s="111">
        <f>'Marks Input'!$M$40</f>
        <v>57.79</v>
      </c>
      <c r="I785" s="77">
        <f>'FM-2'!AB25</f>
        <v>22</v>
      </c>
    </row>
    <row r="786" spans="1:9" ht="15" customHeight="1" thickBot="1" x14ac:dyDescent="0.35">
      <c r="A786" s="119" t="str">
        <f>'Marks Input'!$N$2</f>
        <v>Physics</v>
      </c>
      <c r="B786" s="109">
        <f>'Marks Input'!$N$3</f>
        <v>100</v>
      </c>
      <c r="C786" s="102">
        <f>'FM-2'!R25</f>
        <v>74</v>
      </c>
      <c r="D786" s="110">
        <f t="shared" si="66"/>
        <v>0.74</v>
      </c>
      <c r="E786" s="79" t="str">
        <f t="shared" si="65"/>
        <v>B</v>
      </c>
      <c r="F786" s="103">
        <f>MAX('Marks Input'!$N$4:$N$37)</f>
        <v>60</v>
      </c>
      <c r="G786" s="104">
        <f>MIN('Marks Input'!$N$4:$N$37)</f>
        <v>18</v>
      </c>
      <c r="H786" s="111">
        <f>'Marks Input'!$N$40</f>
        <v>42.94</v>
      </c>
      <c r="I786" s="77">
        <f>'FM-2'!AC25</f>
        <v>21</v>
      </c>
    </row>
    <row r="787" spans="1:9" ht="15" customHeight="1" thickBot="1" x14ac:dyDescent="0.35">
      <c r="A787" s="120" t="str">
        <f>'Marks Input'!$O$2</f>
        <v>Bio./Comp.</v>
      </c>
      <c r="B787" s="112">
        <f>'Marks Input'!$O$3</f>
        <v>100</v>
      </c>
      <c r="C787" s="113">
        <f>'FM-2'!S25</f>
        <v>49</v>
      </c>
      <c r="D787" s="114">
        <f>C787/B787</f>
        <v>0.49</v>
      </c>
      <c r="E787" s="80" t="str">
        <f t="shared" si="65"/>
        <v>E</v>
      </c>
      <c r="F787" s="115">
        <f>MAX('Marks Input'!$O$4:$O$37)</f>
        <v>40</v>
      </c>
      <c r="G787" s="116">
        <f>MIN('Marks Input'!$O$4:$O$37)</f>
        <v>14</v>
      </c>
      <c r="H787" s="117">
        <f>'Marks Input'!$O$40</f>
        <v>30.44</v>
      </c>
      <c r="I787" s="78">
        <f>'FM-2'!AD25</f>
        <v>22</v>
      </c>
    </row>
    <row r="788" spans="1:9" ht="21" customHeight="1" thickBot="1" x14ac:dyDescent="0.45">
      <c r="A788" s="69" t="s">
        <v>14</v>
      </c>
      <c r="B788" s="70">
        <f>'Marks Input'!$P$3</f>
        <v>900</v>
      </c>
      <c r="C788" s="71">
        <f>'FM-2'!U25</f>
        <v>482</v>
      </c>
      <c r="D788" s="72">
        <f t="shared" ref="D788" si="67">C788/B788</f>
        <v>0.53555555555555556</v>
      </c>
      <c r="E788" s="73" t="str">
        <f t="shared" si="65"/>
        <v>D</v>
      </c>
      <c r="F788" s="70">
        <f>MAX('Marks Input'!$P$4:$P$37)</f>
        <v>673</v>
      </c>
      <c r="G788" s="71">
        <f>MIN('Marks Input'!$P$4:$P$37)</f>
        <v>322</v>
      </c>
      <c r="H788" s="74">
        <f>'Marks Input'!$P$40</f>
        <v>493.26</v>
      </c>
      <c r="I788" s="75">
        <f>'FM-2'!AF25</f>
        <v>22</v>
      </c>
    </row>
    <row r="789" spans="1:9" ht="21" customHeight="1" thickBot="1" x14ac:dyDescent="0.35">
      <c r="A789" s="196" t="s">
        <v>15</v>
      </c>
      <c r="B789" s="197"/>
      <c r="C789" s="197"/>
      <c r="H789" s="82"/>
      <c r="I789" s="83"/>
    </row>
    <row r="790" spans="1:9" ht="35.1" customHeight="1" x14ac:dyDescent="0.3">
      <c r="A790" s="198" t="str">
        <f>IF(D788&gt;0.399,"Promoted","Not Promoted")</f>
        <v>Promoted</v>
      </c>
      <c r="B790" s="199"/>
      <c r="C790" s="199"/>
      <c r="D790" s="199"/>
      <c r="E790" s="199"/>
      <c r="F790" s="199"/>
      <c r="G790" s="199"/>
      <c r="H790" s="199"/>
      <c r="I790" s="200"/>
    </row>
    <row r="791" spans="1:9" ht="35.1" customHeight="1" thickBot="1" x14ac:dyDescent="0.35">
      <c r="A791" s="201"/>
      <c r="B791" s="202"/>
      <c r="C791" s="202"/>
      <c r="D791" s="202"/>
      <c r="E791" s="202"/>
      <c r="F791" s="202"/>
      <c r="G791" s="202"/>
      <c r="H791" s="202"/>
      <c r="I791" s="203"/>
    </row>
    <row r="792" spans="1:9" ht="30" customHeight="1" x14ac:dyDescent="0.3">
      <c r="A792" s="84"/>
      <c r="B792" s="85"/>
      <c r="C792" s="85"/>
      <c r="D792" s="121" t="s">
        <v>140</v>
      </c>
      <c r="E792" s="86"/>
      <c r="F792" s="86"/>
      <c r="G792" s="204"/>
      <c r="H792" s="204"/>
      <c r="I792" s="205"/>
    </row>
    <row r="793" spans="1:9" ht="30" customHeight="1" x14ac:dyDescent="0.3">
      <c r="A793" s="84"/>
      <c r="D793" s="121" t="s">
        <v>16</v>
      </c>
      <c r="E793" s="86"/>
      <c r="F793" s="86"/>
      <c r="G793" s="206"/>
      <c r="H793" s="206"/>
      <c r="I793" s="207"/>
    </row>
    <row r="794" spans="1:9" ht="15" customHeight="1" x14ac:dyDescent="0.3">
      <c r="A794" s="84"/>
      <c r="F794" s="208" t="str">
        <f>A771</f>
        <v>APS Hazro</v>
      </c>
      <c r="G794" s="208"/>
      <c r="H794" s="208"/>
      <c r="I794" s="209"/>
    </row>
    <row r="795" spans="1:9" ht="15" customHeight="1" thickBot="1" x14ac:dyDescent="0.35">
      <c r="A795" s="210"/>
      <c r="B795" s="211"/>
      <c r="C795" s="211"/>
      <c r="D795" s="211"/>
      <c r="E795" s="211"/>
      <c r="F795" s="211"/>
      <c r="G795" s="211"/>
      <c r="H795" s="211"/>
      <c r="I795" s="212"/>
    </row>
    <row r="796" spans="1:9" ht="15" customHeight="1" x14ac:dyDescent="0.3">
      <c r="A796" s="213"/>
      <c r="B796" s="214"/>
      <c r="C796" s="214"/>
      <c r="D796" s="214"/>
      <c r="E796" s="214"/>
      <c r="F796" s="214"/>
      <c r="G796" s="214"/>
      <c r="H796" s="214"/>
      <c r="I796" s="215"/>
    </row>
    <row r="797" spans="1:9" ht="21" customHeight="1" x14ac:dyDescent="0.35">
      <c r="A797" s="87" t="s">
        <v>17</v>
      </c>
      <c r="B797" s="105">
        <f>H775</f>
        <v>23</v>
      </c>
      <c r="C797" s="88"/>
      <c r="D797" s="89" t="s">
        <v>3</v>
      </c>
      <c r="E797" s="89" t="str">
        <f>E775</f>
        <v>7TH</v>
      </c>
      <c r="F797" s="90" t="s">
        <v>18</v>
      </c>
      <c r="G797" s="216" t="str">
        <f>E788</f>
        <v>D</v>
      </c>
      <c r="H797" s="216"/>
      <c r="I797" s="217"/>
    </row>
    <row r="798" spans="1:9" ht="30" customHeight="1" x14ac:dyDescent="0.3">
      <c r="A798" s="176" t="s">
        <v>210</v>
      </c>
      <c r="B798" s="177"/>
      <c r="C798" s="218"/>
      <c r="D798" s="218"/>
      <c r="E798" s="187" t="s">
        <v>19</v>
      </c>
      <c r="F798" s="187"/>
      <c r="G798" s="219">
        <f>'FM-2'!G25</f>
        <v>3005327609</v>
      </c>
      <c r="H798" s="219"/>
      <c r="I798" s="220"/>
    </row>
    <row r="799" spans="1:9" ht="30" customHeight="1" x14ac:dyDescent="0.3">
      <c r="A799" s="176" t="s">
        <v>20</v>
      </c>
      <c r="B799" s="177"/>
      <c r="C799" s="178"/>
      <c r="D799" s="178"/>
      <c r="E799" s="178"/>
      <c r="F799" s="178"/>
      <c r="G799" s="178"/>
      <c r="H799" s="178"/>
      <c r="I799" s="179"/>
    </row>
    <row r="800" spans="1:9" ht="30" customHeight="1" x14ac:dyDescent="0.3">
      <c r="A800" s="180"/>
      <c r="B800" s="181"/>
      <c r="C800" s="181"/>
      <c r="D800" s="181"/>
      <c r="E800" s="181"/>
      <c r="F800" s="181"/>
      <c r="G800" s="181"/>
      <c r="H800" s="181"/>
      <c r="I800" s="182"/>
    </row>
    <row r="801" spans="1:9" ht="21" customHeight="1" x14ac:dyDescent="0.3">
      <c r="A801" s="183"/>
      <c r="B801" s="184"/>
      <c r="C801" s="184"/>
      <c r="D801" s="184"/>
      <c r="E801" s="184"/>
      <c r="F801" s="184"/>
      <c r="G801" s="184"/>
      <c r="H801" s="184"/>
      <c r="I801" s="185"/>
    </row>
    <row r="802" spans="1:9" ht="21" customHeight="1" x14ac:dyDescent="0.3">
      <c r="A802" s="91" t="s">
        <v>207</v>
      </c>
      <c r="B802" s="186">
        <f ca="1">TODAY()</f>
        <v>46315</v>
      </c>
      <c r="C802" s="186"/>
      <c r="D802" s="187" t="s">
        <v>141</v>
      </c>
      <c r="E802" s="187"/>
      <c r="F802" s="187"/>
      <c r="G802" s="188"/>
      <c r="H802" s="188"/>
      <c r="I802" s="189"/>
    </row>
    <row r="803" spans="1:9" ht="21" customHeight="1" x14ac:dyDescent="0.3">
      <c r="A803" s="190" t="s">
        <v>211</v>
      </c>
      <c r="B803" s="191"/>
      <c r="C803" s="191"/>
      <c r="D803" s="191"/>
      <c r="E803" s="191"/>
      <c r="F803" s="191"/>
      <c r="G803" s="191"/>
      <c r="H803" s="191"/>
      <c r="I803" s="192"/>
    </row>
    <row r="804" spans="1:9" ht="15" customHeight="1" x14ac:dyDescent="0.3">
      <c r="A804" s="190"/>
      <c r="B804" s="191"/>
      <c r="C804" s="191"/>
      <c r="D804" s="191"/>
      <c r="E804" s="191"/>
      <c r="F804" s="191"/>
      <c r="G804" s="191"/>
      <c r="H804" s="191"/>
      <c r="I804" s="192"/>
    </row>
    <row r="805" spans="1:9" ht="15" thickBot="1" x14ac:dyDescent="0.35">
      <c r="A805" s="193"/>
      <c r="B805" s="194"/>
      <c r="C805" s="194"/>
      <c r="D805" s="194"/>
      <c r="E805" s="194"/>
      <c r="F805" s="194"/>
      <c r="G805" s="194"/>
      <c r="H805" s="194"/>
      <c r="I805" s="195"/>
    </row>
    <row r="806" spans="1:9" ht="41.1" customHeight="1" thickBot="1" x14ac:dyDescent="0.35">
      <c r="A806" s="240" t="str">
        <f>'FM-2'!$I$3</f>
        <v>APS Hazro</v>
      </c>
      <c r="B806" s="241"/>
      <c r="C806" s="241"/>
      <c r="D806" s="241"/>
      <c r="E806" s="241"/>
      <c r="F806" s="241"/>
      <c r="G806" s="241"/>
      <c r="H806" s="241"/>
      <c r="I806" s="242"/>
    </row>
    <row r="807" spans="1:9" ht="21" customHeight="1" thickBot="1" x14ac:dyDescent="0.4">
      <c r="A807" s="129" t="str">
        <f>'FM-2'!$J$3</f>
        <v>ANNUAL EXAM 2024</v>
      </c>
      <c r="B807" s="67"/>
      <c r="C807" s="67"/>
      <c r="D807" s="67"/>
      <c r="E807" s="67"/>
      <c r="F807" s="67"/>
      <c r="G807" s="67"/>
      <c r="H807" s="67"/>
      <c r="I807" s="68"/>
    </row>
    <row r="808" spans="1:9" ht="21" customHeight="1" x14ac:dyDescent="0.35">
      <c r="A808" s="122"/>
      <c r="B808" s="123"/>
      <c r="C808" s="123"/>
      <c r="D808" s="123"/>
      <c r="E808" s="123"/>
      <c r="F808" s="123"/>
      <c r="G808" s="123"/>
      <c r="H808" s="123"/>
      <c r="I808" s="124"/>
    </row>
    <row r="809" spans="1:9" ht="21" customHeight="1" x14ac:dyDescent="0.3">
      <c r="A809" s="221" t="s">
        <v>0</v>
      </c>
      <c r="B809" s="222"/>
      <c r="C809" s="98" t="str">
        <f>'FM-2'!E26</f>
        <v>Ali24</v>
      </c>
      <c r="D809" s="98"/>
      <c r="E809" s="98"/>
      <c r="F809" s="222" t="s">
        <v>1</v>
      </c>
      <c r="G809" s="222"/>
      <c r="H809" s="223" t="str">
        <f>'FM-2'!F26</f>
        <v>Khan 24</v>
      </c>
      <c r="I809" s="224"/>
    </row>
    <row r="810" spans="1:9" ht="21" customHeight="1" x14ac:dyDescent="0.3">
      <c r="A810" s="221" t="s">
        <v>2</v>
      </c>
      <c r="B810" s="222"/>
      <c r="C810" s="92">
        <f>'FM-2'!C26</f>
        <v>1023</v>
      </c>
      <c r="D810" s="93" t="s">
        <v>3</v>
      </c>
      <c r="E810" s="92" t="str">
        <f>'FM-2'!$B$3</f>
        <v>7TH</v>
      </c>
      <c r="F810" s="222" t="s">
        <v>4</v>
      </c>
      <c r="G810" s="222"/>
      <c r="H810" s="225">
        <f>'FM-2'!D26</f>
        <v>24</v>
      </c>
      <c r="I810" s="226"/>
    </row>
    <row r="811" spans="1:9" ht="21" customHeight="1" thickBot="1" x14ac:dyDescent="0.35">
      <c r="A811" s="227" t="s">
        <v>206</v>
      </c>
      <c r="B811" s="228"/>
      <c r="C811" s="94">
        <f>COUNTIF('Marks Input'!$B$4:$B$63,"&gt;0")</f>
        <v>34</v>
      </c>
      <c r="D811" s="93"/>
      <c r="E811" s="95"/>
      <c r="F811" s="93"/>
      <c r="G811" s="93"/>
      <c r="H811" s="96"/>
      <c r="I811" s="97"/>
    </row>
    <row r="812" spans="1:9" ht="15.75" customHeight="1" thickBot="1" x14ac:dyDescent="0.35">
      <c r="A812" s="229" t="s">
        <v>5</v>
      </c>
      <c r="B812" s="231" t="s">
        <v>6</v>
      </c>
      <c r="C812" s="233" t="s">
        <v>7</v>
      </c>
      <c r="D812" s="235" t="s">
        <v>209</v>
      </c>
      <c r="E812" s="229" t="s">
        <v>8</v>
      </c>
      <c r="F812" s="237" t="s">
        <v>9</v>
      </c>
      <c r="G812" s="238"/>
      <c r="H812" s="238"/>
      <c r="I812" s="239"/>
    </row>
    <row r="813" spans="1:9" ht="30" customHeight="1" thickBot="1" x14ac:dyDescent="0.35">
      <c r="A813" s="230"/>
      <c r="B813" s="232"/>
      <c r="C813" s="234"/>
      <c r="D813" s="236"/>
      <c r="E813" s="230"/>
      <c r="F813" s="125" t="s">
        <v>10</v>
      </c>
      <c r="G813" s="126" t="s">
        <v>11</v>
      </c>
      <c r="H813" s="127" t="s">
        <v>12</v>
      </c>
      <c r="I813" s="128" t="s">
        <v>208</v>
      </c>
    </row>
    <row r="814" spans="1:9" ht="15" customHeight="1" thickBot="1" x14ac:dyDescent="0.35">
      <c r="A814" s="118" t="str">
        <f>'Marks Input'!$G$2</f>
        <v>Urdu</v>
      </c>
      <c r="B814" s="106">
        <f>'Marks Input'!$G$3</f>
        <v>100</v>
      </c>
      <c r="C814" s="99">
        <f>'FM-2'!K26</f>
        <v>54</v>
      </c>
      <c r="D814" s="107">
        <f>C814/B814</f>
        <v>0.54</v>
      </c>
      <c r="E814" s="79" t="str">
        <f>IF(D814&gt;0.899,"A+",IF(D814&gt;0.799,"A",IF(D814&gt;0.699,"B",IF(D814&gt;0.599,"C",IF(D814&gt;0.499,"D",IF(D814&gt;0.399,"E","F"))))))</f>
        <v>D</v>
      </c>
      <c r="F814" s="100">
        <f>MAX('Marks Input'!$G$4:$G$37)</f>
        <v>72</v>
      </c>
      <c r="G814" s="101">
        <f>MIN('Marks Input'!$G$4:$G$37)</f>
        <v>40</v>
      </c>
      <c r="H814" s="108">
        <f>'Marks Input'!$G$40</f>
        <v>62.59</v>
      </c>
      <c r="I814" s="76">
        <f>'FM-2'!V26</f>
        <v>28</v>
      </c>
    </row>
    <row r="815" spans="1:9" ht="15" customHeight="1" thickBot="1" x14ac:dyDescent="0.35">
      <c r="A815" s="119" t="str">
        <f>'Marks Input'!$H$2</f>
        <v>English</v>
      </c>
      <c r="B815" s="109">
        <f>'Marks Input'!$H$3</f>
        <v>100</v>
      </c>
      <c r="C815" s="102">
        <f>'FM-2'!L26</f>
        <v>33</v>
      </c>
      <c r="D815" s="110">
        <f>C815/B815</f>
        <v>0.33</v>
      </c>
      <c r="E815" s="79" t="str">
        <f t="shared" ref="E815:E823" si="68">IF(D815&gt;0.899,"A+",IF(D815&gt;0.799,"A",IF(D815&gt;0.699,"B",IF(D815&gt;0.599,"C",IF(D815&gt;0.499,"D",IF(D815&gt;0.399,"E","F"))))))</f>
        <v>F</v>
      </c>
      <c r="F815" s="103">
        <f>MAX('Marks Input'!$H$4:$H$37)</f>
        <v>74</v>
      </c>
      <c r="G815" s="104">
        <f>MIN('Marks Input'!$H$4:$H$37)</f>
        <v>30</v>
      </c>
      <c r="H815" s="111">
        <f>'Marks Input'!$H$40</f>
        <v>43.26</v>
      </c>
      <c r="I815" s="77">
        <f>'FM-2'!W26</f>
        <v>19</v>
      </c>
    </row>
    <row r="816" spans="1:9" ht="15" customHeight="1" thickBot="1" x14ac:dyDescent="0.35">
      <c r="A816" s="119" t="str">
        <f>'Marks Input'!$I$2</f>
        <v>Islamiyat</v>
      </c>
      <c r="B816" s="109">
        <f>'Marks Input'!$I$3</f>
        <v>100</v>
      </c>
      <c r="C816" s="102">
        <f>'FM-2'!M26</f>
        <v>52</v>
      </c>
      <c r="D816" s="110">
        <f t="shared" ref="D816:D821" si="69">C816/B816</f>
        <v>0.52</v>
      </c>
      <c r="E816" s="79" t="str">
        <f t="shared" si="68"/>
        <v>D</v>
      </c>
      <c r="F816" s="103">
        <f>MAX('Marks Input'!$I$4:$I$37)</f>
        <v>88</v>
      </c>
      <c r="G816" s="104">
        <f>MIN('Marks Input'!$I$4:$I$37)</f>
        <v>34</v>
      </c>
      <c r="H816" s="111">
        <f>'Marks Input'!$I$40</f>
        <v>48.29</v>
      </c>
      <c r="I816" s="77">
        <f>'FM-2'!X26</f>
        <v>12</v>
      </c>
    </row>
    <row r="817" spans="1:9" ht="15" customHeight="1" thickBot="1" x14ac:dyDescent="0.35">
      <c r="A817" s="119" t="str">
        <f>'Marks Input'!$J$2</f>
        <v>Pak Studies</v>
      </c>
      <c r="B817" s="109">
        <f>'Marks Input'!$J$3</f>
        <v>100</v>
      </c>
      <c r="C817" s="102">
        <f>'FM-2'!N26</f>
        <v>84</v>
      </c>
      <c r="D817" s="110">
        <f t="shared" si="69"/>
        <v>0.84</v>
      </c>
      <c r="E817" s="79" t="str">
        <f t="shared" si="68"/>
        <v>A</v>
      </c>
      <c r="F817" s="103">
        <f>MAX('Marks Input'!$J$4:$J$37)</f>
        <v>96</v>
      </c>
      <c r="G817" s="104">
        <f>MIN('Marks Input'!$J$4:$J$37)</f>
        <v>34</v>
      </c>
      <c r="H817" s="111">
        <f>'Marks Input'!$J$40</f>
        <v>71.03</v>
      </c>
      <c r="I817" s="77">
        <f>'FM-2'!Y26</f>
        <v>6</v>
      </c>
    </row>
    <row r="818" spans="1:9" ht="15" customHeight="1" thickBot="1" x14ac:dyDescent="0.35">
      <c r="A818" s="119" t="str">
        <f>'Marks Input'!$K$2</f>
        <v>Maths</v>
      </c>
      <c r="B818" s="109">
        <f>'Marks Input'!$K$3</f>
        <v>100</v>
      </c>
      <c r="C818" s="102">
        <f>'FM-2'!O26</f>
        <v>34</v>
      </c>
      <c r="D818" s="110">
        <f t="shared" si="69"/>
        <v>0.34</v>
      </c>
      <c r="E818" s="79" t="str">
        <f t="shared" si="68"/>
        <v>F</v>
      </c>
      <c r="F818" s="103">
        <f>MAX('Marks Input'!$K$4:$K$37)</f>
        <v>94</v>
      </c>
      <c r="G818" s="104">
        <f>MIN('Marks Input'!$K$4:$K$37)</f>
        <v>57</v>
      </c>
      <c r="H818" s="111">
        <f>'Marks Input'!$K$40</f>
        <v>75.819999999999993</v>
      </c>
      <c r="I818" s="77">
        <f>'FM-2'!Z26</f>
        <v>31</v>
      </c>
    </row>
    <row r="819" spans="1:9" ht="15" customHeight="1" thickBot="1" x14ac:dyDescent="0.35">
      <c r="A819" s="119" t="str">
        <f>'Marks Input'!$L$2</f>
        <v>Sci./ Che.</v>
      </c>
      <c r="B819" s="109">
        <f>'Marks Input'!$L$3</f>
        <v>100</v>
      </c>
      <c r="C819" s="102">
        <f>'FM-2'!P26</f>
        <v>74</v>
      </c>
      <c r="D819" s="110">
        <f t="shared" si="69"/>
        <v>0.74</v>
      </c>
      <c r="E819" s="79" t="str">
        <f t="shared" si="68"/>
        <v>B</v>
      </c>
      <c r="F819" s="103">
        <f>MAX('Marks Input'!$L$4:$L$37)</f>
        <v>98</v>
      </c>
      <c r="G819" s="104">
        <f>MIN('Marks Input'!$L$4:$L$37)</f>
        <v>40</v>
      </c>
      <c r="H819" s="111">
        <f>'Marks Input'!$L$40</f>
        <v>61.09</v>
      </c>
      <c r="I819" s="77">
        <f>'FM-2'!AA26</f>
        <v>18</v>
      </c>
    </row>
    <row r="820" spans="1:9" ht="15" customHeight="1" thickBot="1" x14ac:dyDescent="0.35">
      <c r="A820" s="119" t="str">
        <f>'Marks Input'!$M$2</f>
        <v>Nazra</v>
      </c>
      <c r="B820" s="109">
        <f>'Marks Input'!$M$3</f>
        <v>100</v>
      </c>
      <c r="C820" s="102">
        <f>'FM-2'!Q26</f>
        <v>73</v>
      </c>
      <c r="D820" s="110">
        <f t="shared" si="69"/>
        <v>0.73</v>
      </c>
      <c r="E820" s="79" t="str">
        <f t="shared" si="68"/>
        <v>B</v>
      </c>
      <c r="F820" s="103">
        <f>MAX('Marks Input'!$M$4:$M$37)</f>
        <v>94</v>
      </c>
      <c r="G820" s="104">
        <f>MIN('Marks Input'!$M$4:$M$37)</f>
        <v>32</v>
      </c>
      <c r="H820" s="111">
        <f>'Marks Input'!$M$40</f>
        <v>57.79</v>
      </c>
      <c r="I820" s="77">
        <f>'FM-2'!AB26</f>
        <v>7</v>
      </c>
    </row>
    <row r="821" spans="1:9" ht="15" customHeight="1" thickBot="1" x14ac:dyDescent="0.35">
      <c r="A821" s="119" t="str">
        <f>'Marks Input'!$N$2</f>
        <v>Physics</v>
      </c>
      <c r="B821" s="109">
        <f>'Marks Input'!$N$3</f>
        <v>100</v>
      </c>
      <c r="C821" s="102">
        <f>'FM-2'!R26</f>
        <v>77</v>
      </c>
      <c r="D821" s="110">
        <f t="shared" si="69"/>
        <v>0.77</v>
      </c>
      <c r="E821" s="79" t="str">
        <f t="shared" si="68"/>
        <v>B</v>
      </c>
      <c r="F821" s="103">
        <f>MAX('Marks Input'!$N$4:$N$37)</f>
        <v>60</v>
      </c>
      <c r="G821" s="104">
        <f>MIN('Marks Input'!$N$4:$N$37)</f>
        <v>18</v>
      </c>
      <c r="H821" s="111">
        <f>'Marks Input'!$N$40</f>
        <v>42.94</v>
      </c>
      <c r="I821" s="77">
        <f>'FM-2'!AC26</f>
        <v>11</v>
      </c>
    </row>
    <row r="822" spans="1:9" ht="15" customHeight="1" thickBot="1" x14ac:dyDescent="0.35">
      <c r="A822" s="120" t="str">
        <f>'Marks Input'!$O$2</f>
        <v>Bio./Comp.</v>
      </c>
      <c r="B822" s="112">
        <f>'Marks Input'!$O$3</f>
        <v>100</v>
      </c>
      <c r="C822" s="113">
        <f>'FM-2'!S26</f>
        <v>73</v>
      </c>
      <c r="D822" s="114">
        <f>C822/B822</f>
        <v>0.73</v>
      </c>
      <c r="E822" s="80" t="str">
        <f t="shared" si="68"/>
        <v>B</v>
      </c>
      <c r="F822" s="115">
        <f>MAX('Marks Input'!$O$4:$O$37)</f>
        <v>40</v>
      </c>
      <c r="G822" s="116">
        <f>MIN('Marks Input'!$O$4:$O$37)</f>
        <v>14</v>
      </c>
      <c r="H822" s="117">
        <f>'Marks Input'!$O$40</f>
        <v>30.44</v>
      </c>
      <c r="I822" s="78">
        <f>'FM-2'!AD26</f>
        <v>7</v>
      </c>
    </row>
    <row r="823" spans="1:9" ht="21" customHeight="1" thickBot="1" x14ac:dyDescent="0.45">
      <c r="A823" s="69" t="s">
        <v>14</v>
      </c>
      <c r="B823" s="70">
        <f>'Marks Input'!$P$3</f>
        <v>900</v>
      </c>
      <c r="C823" s="71">
        <f>'FM-2'!U26</f>
        <v>511</v>
      </c>
      <c r="D823" s="72">
        <f t="shared" ref="D823" si="70">C823/B823</f>
        <v>0.56777777777777783</v>
      </c>
      <c r="E823" s="73" t="str">
        <f t="shared" si="68"/>
        <v>D</v>
      </c>
      <c r="F823" s="70">
        <f>MAX('Marks Input'!$P$4:$P$37)</f>
        <v>673</v>
      </c>
      <c r="G823" s="71">
        <f>MIN('Marks Input'!$P$4:$P$37)</f>
        <v>322</v>
      </c>
      <c r="H823" s="74">
        <f>'Marks Input'!$P$40</f>
        <v>493.26</v>
      </c>
      <c r="I823" s="75">
        <f>'FM-2'!AF26</f>
        <v>14</v>
      </c>
    </row>
    <row r="824" spans="1:9" ht="21" customHeight="1" thickBot="1" x14ac:dyDescent="0.35">
      <c r="A824" s="196" t="s">
        <v>15</v>
      </c>
      <c r="B824" s="197"/>
      <c r="C824" s="197"/>
      <c r="H824" s="82"/>
      <c r="I824" s="83"/>
    </row>
    <row r="825" spans="1:9" ht="35.1" customHeight="1" x14ac:dyDescent="0.3">
      <c r="A825" s="198" t="str">
        <f>IF(D823&gt;0.399,"Promoted","Not Promoted")</f>
        <v>Promoted</v>
      </c>
      <c r="B825" s="199"/>
      <c r="C825" s="199"/>
      <c r="D825" s="199"/>
      <c r="E825" s="199"/>
      <c r="F825" s="199"/>
      <c r="G825" s="199"/>
      <c r="H825" s="199"/>
      <c r="I825" s="200"/>
    </row>
    <row r="826" spans="1:9" ht="35.1" customHeight="1" thickBot="1" x14ac:dyDescent="0.35">
      <c r="A826" s="201"/>
      <c r="B826" s="202"/>
      <c r="C826" s="202"/>
      <c r="D826" s="202"/>
      <c r="E826" s="202"/>
      <c r="F826" s="202"/>
      <c r="G826" s="202"/>
      <c r="H826" s="202"/>
      <c r="I826" s="203"/>
    </row>
    <row r="827" spans="1:9" ht="30" customHeight="1" x14ac:dyDescent="0.3">
      <c r="A827" s="84"/>
      <c r="B827" s="85"/>
      <c r="C827" s="85"/>
      <c r="D827" s="121" t="s">
        <v>140</v>
      </c>
      <c r="E827" s="86"/>
      <c r="F827" s="86"/>
      <c r="G827" s="204"/>
      <c r="H827" s="204"/>
      <c r="I827" s="205"/>
    </row>
    <row r="828" spans="1:9" ht="30" customHeight="1" x14ac:dyDescent="0.3">
      <c r="A828" s="84"/>
      <c r="D828" s="121" t="s">
        <v>16</v>
      </c>
      <c r="E828" s="86"/>
      <c r="F828" s="86"/>
      <c r="G828" s="206"/>
      <c r="H828" s="206"/>
      <c r="I828" s="207"/>
    </row>
    <row r="829" spans="1:9" ht="15" customHeight="1" x14ac:dyDescent="0.3">
      <c r="A829" s="84"/>
      <c r="F829" s="208" t="str">
        <f>A806</f>
        <v>APS Hazro</v>
      </c>
      <c r="G829" s="208"/>
      <c r="H829" s="208"/>
      <c r="I829" s="209"/>
    </row>
    <row r="830" spans="1:9" ht="15" customHeight="1" thickBot="1" x14ac:dyDescent="0.35">
      <c r="A830" s="210"/>
      <c r="B830" s="211"/>
      <c r="C830" s="211"/>
      <c r="D830" s="211"/>
      <c r="E830" s="211"/>
      <c r="F830" s="211"/>
      <c r="G830" s="211"/>
      <c r="H830" s="211"/>
      <c r="I830" s="212"/>
    </row>
    <row r="831" spans="1:9" ht="15" customHeight="1" x14ac:dyDescent="0.3">
      <c r="A831" s="213"/>
      <c r="B831" s="214"/>
      <c r="C831" s="214"/>
      <c r="D831" s="214"/>
      <c r="E831" s="214"/>
      <c r="F831" s="214"/>
      <c r="G831" s="214"/>
      <c r="H831" s="214"/>
      <c r="I831" s="215"/>
    </row>
    <row r="832" spans="1:9" ht="21" customHeight="1" x14ac:dyDescent="0.35">
      <c r="A832" s="87" t="s">
        <v>17</v>
      </c>
      <c r="B832" s="105">
        <f>H810</f>
        <v>24</v>
      </c>
      <c r="C832" s="88"/>
      <c r="D832" s="89" t="s">
        <v>3</v>
      </c>
      <c r="E832" s="89" t="str">
        <f>E810</f>
        <v>7TH</v>
      </c>
      <c r="F832" s="90" t="s">
        <v>18</v>
      </c>
      <c r="G832" s="216" t="str">
        <f>E823</f>
        <v>D</v>
      </c>
      <c r="H832" s="216"/>
      <c r="I832" s="217"/>
    </row>
    <row r="833" spans="1:9" ht="30" customHeight="1" x14ac:dyDescent="0.3">
      <c r="A833" s="176" t="s">
        <v>210</v>
      </c>
      <c r="B833" s="177"/>
      <c r="C833" s="218"/>
      <c r="D833" s="218"/>
      <c r="E833" s="187" t="s">
        <v>19</v>
      </c>
      <c r="F833" s="187"/>
      <c r="G833" s="219">
        <f>'FM-2'!G26</f>
        <v>3005327650</v>
      </c>
      <c r="H833" s="219"/>
      <c r="I833" s="220"/>
    </row>
    <row r="834" spans="1:9" ht="30" customHeight="1" x14ac:dyDescent="0.3">
      <c r="A834" s="176" t="s">
        <v>20</v>
      </c>
      <c r="B834" s="177"/>
      <c r="C834" s="178"/>
      <c r="D834" s="178"/>
      <c r="E834" s="178"/>
      <c r="F834" s="178"/>
      <c r="G834" s="178"/>
      <c r="H834" s="178"/>
      <c r="I834" s="179"/>
    </row>
    <row r="835" spans="1:9" ht="30" customHeight="1" x14ac:dyDescent="0.3">
      <c r="A835" s="180"/>
      <c r="B835" s="181"/>
      <c r="C835" s="181"/>
      <c r="D835" s="181"/>
      <c r="E835" s="181"/>
      <c r="F835" s="181"/>
      <c r="G835" s="181"/>
      <c r="H835" s="181"/>
      <c r="I835" s="182"/>
    </row>
    <row r="836" spans="1:9" ht="21" customHeight="1" x14ac:dyDescent="0.3">
      <c r="A836" s="183"/>
      <c r="B836" s="184"/>
      <c r="C836" s="184"/>
      <c r="D836" s="184"/>
      <c r="E836" s="184"/>
      <c r="F836" s="184"/>
      <c r="G836" s="184"/>
      <c r="H836" s="184"/>
      <c r="I836" s="185"/>
    </row>
    <row r="837" spans="1:9" ht="21" customHeight="1" x14ac:dyDescent="0.3">
      <c r="A837" s="91" t="s">
        <v>207</v>
      </c>
      <c r="B837" s="186">
        <f ca="1">TODAY()</f>
        <v>46315</v>
      </c>
      <c r="C837" s="186"/>
      <c r="D837" s="187" t="s">
        <v>141</v>
      </c>
      <c r="E837" s="187"/>
      <c r="F837" s="187"/>
      <c r="G837" s="188"/>
      <c r="H837" s="188"/>
      <c r="I837" s="189"/>
    </row>
    <row r="838" spans="1:9" ht="21" customHeight="1" x14ac:dyDescent="0.3">
      <c r="A838" s="190" t="s">
        <v>211</v>
      </c>
      <c r="B838" s="191"/>
      <c r="C838" s="191"/>
      <c r="D838" s="191"/>
      <c r="E838" s="191"/>
      <c r="F838" s="191"/>
      <c r="G838" s="191"/>
      <c r="H838" s="191"/>
      <c r="I838" s="192"/>
    </row>
    <row r="839" spans="1:9" ht="15" customHeight="1" x14ac:dyDescent="0.3">
      <c r="A839" s="190"/>
      <c r="B839" s="191"/>
      <c r="C839" s="191"/>
      <c r="D839" s="191"/>
      <c r="E839" s="191"/>
      <c r="F839" s="191"/>
      <c r="G839" s="191"/>
      <c r="H839" s="191"/>
      <c r="I839" s="192"/>
    </row>
    <row r="840" spans="1:9" ht="15" thickBot="1" x14ac:dyDescent="0.35">
      <c r="A840" s="193"/>
      <c r="B840" s="194"/>
      <c r="C840" s="194"/>
      <c r="D840" s="194"/>
      <c r="E840" s="194"/>
      <c r="F840" s="194"/>
      <c r="G840" s="194"/>
      <c r="H840" s="194"/>
      <c r="I840" s="195"/>
    </row>
    <row r="841" spans="1:9" ht="41.1" customHeight="1" thickBot="1" x14ac:dyDescent="0.35">
      <c r="A841" s="240" t="str">
        <f>'FM-2'!$I$3</f>
        <v>APS Hazro</v>
      </c>
      <c r="B841" s="241"/>
      <c r="C841" s="241"/>
      <c r="D841" s="241"/>
      <c r="E841" s="241"/>
      <c r="F841" s="241"/>
      <c r="G841" s="241"/>
      <c r="H841" s="241"/>
      <c r="I841" s="242"/>
    </row>
    <row r="842" spans="1:9" ht="21" customHeight="1" thickBot="1" x14ac:dyDescent="0.4">
      <c r="A842" s="129" t="str">
        <f>'FM-2'!$J$3</f>
        <v>ANNUAL EXAM 2024</v>
      </c>
      <c r="B842" s="67"/>
      <c r="C842" s="67"/>
      <c r="D842" s="67"/>
      <c r="E842" s="67"/>
      <c r="F842" s="67"/>
      <c r="G842" s="67"/>
      <c r="H842" s="67"/>
      <c r="I842" s="68"/>
    </row>
    <row r="843" spans="1:9" ht="21" customHeight="1" x14ac:dyDescent="0.35">
      <c r="A843" s="122"/>
      <c r="B843" s="123"/>
      <c r="C843" s="123"/>
      <c r="D843" s="123"/>
      <c r="E843" s="123"/>
      <c r="F843" s="123"/>
      <c r="G843" s="123"/>
      <c r="H843" s="123"/>
      <c r="I843" s="124"/>
    </row>
    <row r="844" spans="1:9" ht="21" customHeight="1" x14ac:dyDescent="0.3">
      <c r="A844" s="221" t="s">
        <v>0</v>
      </c>
      <c r="B844" s="222"/>
      <c r="C844" s="98" t="str">
        <f>'FM-2'!E27</f>
        <v>Ali25</v>
      </c>
      <c r="D844" s="98"/>
      <c r="E844" s="98"/>
      <c r="F844" s="222" t="s">
        <v>1</v>
      </c>
      <c r="G844" s="222"/>
      <c r="H844" s="223" t="str">
        <f>'FM-2'!F27</f>
        <v>Khan 25</v>
      </c>
      <c r="I844" s="224"/>
    </row>
    <row r="845" spans="1:9" ht="21" customHeight="1" x14ac:dyDescent="0.3">
      <c r="A845" s="221" t="s">
        <v>2</v>
      </c>
      <c r="B845" s="222"/>
      <c r="C845" s="92">
        <f>'FM-2'!C27</f>
        <v>1024</v>
      </c>
      <c r="D845" s="93" t="s">
        <v>3</v>
      </c>
      <c r="E845" s="92" t="str">
        <f>'FM-2'!$B$3</f>
        <v>7TH</v>
      </c>
      <c r="F845" s="222" t="s">
        <v>4</v>
      </c>
      <c r="G845" s="222"/>
      <c r="H845" s="225">
        <f>'FM-2'!D27</f>
        <v>25</v>
      </c>
      <c r="I845" s="226"/>
    </row>
    <row r="846" spans="1:9" ht="21" customHeight="1" thickBot="1" x14ac:dyDescent="0.35">
      <c r="A846" s="227" t="s">
        <v>206</v>
      </c>
      <c r="B846" s="228"/>
      <c r="C846" s="94">
        <f>COUNTIF('Marks Input'!$B$4:$B$63,"&gt;0")</f>
        <v>34</v>
      </c>
      <c r="D846" s="93"/>
      <c r="E846" s="95"/>
      <c r="F846" s="93"/>
      <c r="G846" s="93"/>
      <c r="H846" s="96"/>
      <c r="I846" s="97"/>
    </row>
    <row r="847" spans="1:9" ht="15.75" customHeight="1" thickBot="1" x14ac:dyDescent="0.35">
      <c r="A847" s="229" t="s">
        <v>5</v>
      </c>
      <c r="B847" s="231" t="s">
        <v>6</v>
      </c>
      <c r="C847" s="233" t="s">
        <v>7</v>
      </c>
      <c r="D847" s="235" t="s">
        <v>209</v>
      </c>
      <c r="E847" s="229" t="s">
        <v>8</v>
      </c>
      <c r="F847" s="237" t="s">
        <v>9</v>
      </c>
      <c r="G847" s="238"/>
      <c r="H847" s="238"/>
      <c r="I847" s="239"/>
    </row>
    <row r="848" spans="1:9" ht="30" customHeight="1" thickBot="1" x14ac:dyDescent="0.35">
      <c r="A848" s="230"/>
      <c r="B848" s="232"/>
      <c r="C848" s="234"/>
      <c r="D848" s="236"/>
      <c r="E848" s="230"/>
      <c r="F848" s="125" t="s">
        <v>10</v>
      </c>
      <c r="G848" s="126" t="s">
        <v>11</v>
      </c>
      <c r="H848" s="127" t="s">
        <v>12</v>
      </c>
      <c r="I848" s="128" t="s">
        <v>208</v>
      </c>
    </row>
    <row r="849" spans="1:9" ht="15" customHeight="1" thickBot="1" x14ac:dyDescent="0.35">
      <c r="A849" s="118" t="str">
        <f>'Marks Input'!$G$2</f>
        <v>Urdu</v>
      </c>
      <c r="B849" s="106">
        <f>'Marks Input'!$G$3</f>
        <v>100</v>
      </c>
      <c r="C849" s="99">
        <f>'FM-2'!K27</f>
        <v>70</v>
      </c>
      <c r="D849" s="107">
        <f>C849/B849</f>
        <v>0.7</v>
      </c>
      <c r="E849" s="79" t="str">
        <f>IF(D849&gt;0.899,"A+",IF(D849&gt;0.799,"A",IF(D849&gt;0.699,"B",IF(D849&gt;0.599,"C",IF(D849&gt;0.499,"D",IF(D849&gt;0.399,"E","F"))))))</f>
        <v>B</v>
      </c>
      <c r="F849" s="100">
        <f>MAX('Marks Input'!$G$4:$G$37)</f>
        <v>72</v>
      </c>
      <c r="G849" s="101">
        <f>MIN('Marks Input'!$G$4:$G$37)</f>
        <v>40</v>
      </c>
      <c r="H849" s="108">
        <f>'Marks Input'!$G$40</f>
        <v>62.59</v>
      </c>
      <c r="I849" s="76">
        <f>'FM-2'!V27</f>
        <v>3</v>
      </c>
    </row>
    <row r="850" spans="1:9" ht="15" customHeight="1" thickBot="1" x14ac:dyDescent="0.35">
      <c r="A850" s="119" t="str">
        <f>'Marks Input'!$H$2</f>
        <v>English</v>
      </c>
      <c r="B850" s="109">
        <f>'Marks Input'!$H$3</f>
        <v>100</v>
      </c>
      <c r="C850" s="102">
        <f>'FM-2'!L27</f>
        <v>62</v>
      </c>
      <c r="D850" s="110">
        <f>C850/B850</f>
        <v>0.62</v>
      </c>
      <c r="E850" s="79" t="str">
        <f t="shared" ref="E850:E858" si="71">IF(D850&gt;0.899,"A+",IF(D850&gt;0.799,"A",IF(D850&gt;0.699,"B",IF(D850&gt;0.599,"C",IF(D850&gt;0.499,"D",IF(D850&gt;0.399,"E","F"))))))</f>
        <v>C</v>
      </c>
      <c r="F850" s="103">
        <f>MAX('Marks Input'!$H$4:$H$37)</f>
        <v>74</v>
      </c>
      <c r="G850" s="104">
        <f>MIN('Marks Input'!$H$4:$H$37)</f>
        <v>30</v>
      </c>
      <c r="H850" s="111">
        <f>'Marks Input'!$H$40</f>
        <v>43.26</v>
      </c>
      <c r="I850" s="77">
        <f>'FM-2'!W27</f>
        <v>4</v>
      </c>
    </row>
    <row r="851" spans="1:9" ht="15" customHeight="1" thickBot="1" x14ac:dyDescent="0.35">
      <c r="A851" s="119" t="str">
        <f>'Marks Input'!$I$2</f>
        <v>Islamiyat</v>
      </c>
      <c r="B851" s="109">
        <f>'Marks Input'!$I$3</f>
        <v>100</v>
      </c>
      <c r="C851" s="102">
        <f>'FM-2'!M27</f>
        <v>60</v>
      </c>
      <c r="D851" s="110">
        <f t="shared" ref="D851:D856" si="72">C851/B851</f>
        <v>0.6</v>
      </c>
      <c r="E851" s="79" t="str">
        <f t="shared" si="71"/>
        <v>C</v>
      </c>
      <c r="F851" s="103">
        <f>MAX('Marks Input'!$I$4:$I$37)</f>
        <v>88</v>
      </c>
      <c r="G851" s="104">
        <f>MIN('Marks Input'!$I$4:$I$37)</f>
        <v>34</v>
      </c>
      <c r="H851" s="111">
        <f>'Marks Input'!$I$40</f>
        <v>48.29</v>
      </c>
      <c r="I851" s="77">
        <f>'FM-2'!X27</f>
        <v>1</v>
      </c>
    </row>
    <row r="852" spans="1:9" ht="15" customHeight="1" thickBot="1" x14ac:dyDescent="0.35">
      <c r="A852" s="119" t="str">
        <f>'Marks Input'!$J$2</f>
        <v>Pak Studies</v>
      </c>
      <c r="B852" s="109">
        <f>'Marks Input'!$J$3</f>
        <v>100</v>
      </c>
      <c r="C852" s="102">
        <f>'FM-2'!N27</f>
        <v>88</v>
      </c>
      <c r="D852" s="110">
        <f t="shared" si="72"/>
        <v>0.88</v>
      </c>
      <c r="E852" s="79" t="str">
        <f t="shared" si="71"/>
        <v>A</v>
      </c>
      <c r="F852" s="103">
        <f>MAX('Marks Input'!$J$4:$J$37)</f>
        <v>96</v>
      </c>
      <c r="G852" s="104">
        <f>MIN('Marks Input'!$J$4:$J$37)</f>
        <v>34</v>
      </c>
      <c r="H852" s="111">
        <f>'Marks Input'!$J$40</f>
        <v>71.03</v>
      </c>
      <c r="I852" s="77">
        <f>'FM-2'!Y27</f>
        <v>4</v>
      </c>
    </row>
    <row r="853" spans="1:9" ht="15" customHeight="1" thickBot="1" x14ac:dyDescent="0.35">
      <c r="A853" s="119" t="str">
        <f>'Marks Input'!$K$2</f>
        <v>Maths</v>
      </c>
      <c r="B853" s="109">
        <f>'Marks Input'!$K$3</f>
        <v>100</v>
      </c>
      <c r="C853" s="102">
        <f>'FM-2'!O27</f>
        <v>60</v>
      </c>
      <c r="D853" s="110">
        <f t="shared" si="72"/>
        <v>0.6</v>
      </c>
      <c r="E853" s="79" t="str">
        <f t="shared" si="71"/>
        <v>C</v>
      </c>
      <c r="F853" s="103">
        <f>MAX('Marks Input'!$K$4:$K$37)</f>
        <v>94</v>
      </c>
      <c r="G853" s="104">
        <f>MIN('Marks Input'!$K$4:$K$37)</f>
        <v>57</v>
      </c>
      <c r="H853" s="111">
        <f>'Marks Input'!$K$40</f>
        <v>75.819999999999993</v>
      </c>
      <c r="I853" s="77">
        <f>'FM-2'!Z27</f>
        <v>4</v>
      </c>
    </row>
    <row r="854" spans="1:9" ht="15" customHeight="1" thickBot="1" x14ac:dyDescent="0.35">
      <c r="A854" s="119" t="str">
        <f>'Marks Input'!$L$2</f>
        <v>Sci./ Che.</v>
      </c>
      <c r="B854" s="109">
        <f>'Marks Input'!$L$3</f>
        <v>100</v>
      </c>
      <c r="C854" s="102">
        <f>'FM-2'!P27</f>
        <v>95</v>
      </c>
      <c r="D854" s="110">
        <f t="shared" si="72"/>
        <v>0.95</v>
      </c>
      <c r="E854" s="79" t="str">
        <f t="shared" si="71"/>
        <v>A+</v>
      </c>
      <c r="F854" s="103">
        <f>MAX('Marks Input'!$L$4:$L$37)</f>
        <v>98</v>
      </c>
      <c r="G854" s="104">
        <f>MIN('Marks Input'!$L$4:$L$37)</f>
        <v>40</v>
      </c>
      <c r="H854" s="111">
        <f>'Marks Input'!$L$40</f>
        <v>61.09</v>
      </c>
      <c r="I854" s="77">
        <f>'FM-2'!AA27</f>
        <v>5</v>
      </c>
    </row>
    <row r="855" spans="1:9" ht="15" customHeight="1" thickBot="1" x14ac:dyDescent="0.35">
      <c r="A855" s="119" t="str">
        <f>'Marks Input'!$M$2</f>
        <v>Nazra</v>
      </c>
      <c r="B855" s="109">
        <f>'Marks Input'!$M$3</f>
        <v>100</v>
      </c>
      <c r="C855" s="102">
        <f>'FM-2'!Q27</f>
        <v>94</v>
      </c>
      <c r="D855" s="110">
        <f t="shared" si="72"/>
        <v>0.94</v>
      </c>
      <c r="E855" s="79" t="str">
        <f t="shared" si="71"/>
        <v>A+</v>
      </c>
      <c r="F855" s="103">
        <f>MAX('Marks Input'!$M$4:$M$37)</f>
        <v>94</v>
      </c>
      <c r="G855" s="104">
        <f>MIN('Marks Input'!$M$4:$M$37)</f>
        <v>32</v>
      </c>
      <c r="H855" s="111">
        <f>'Marks Input'!$M$40</f>
        <v>57.79</v>
      </c>
      <c r="I855" s="77">
        <f>'FM-2'!AB27</f>
        <v>1</v>
      </c>
    </row>
    <row r="856" spans="1:9" ht="15" customHeight="1" thickBot="1" x14ac:dyDescent="0.35">
      <c r="A856" s="119" t="str">
        <f>'Marks Input'!$N$2</f>
        <v>Physics</v>
      </c>
      <c r="B856" s="109">
        <f>'Marks Input'!$N$3</f>
        <v>100</v>
      </c>
      <c r="C856" s="102">
        <f>'FM-2'!R27</f>
        <v>94</v>
      </c>
      <c r="D856" s="110">
        <f t="shared" si="72"/>
        <v>0.94</v>
      </c>
      <c r="E856" s="79" t="str">
        <f t="shared" si="71"/>
        <v>A+</v>
      </c>
      <c r="F856" s="103">
        <f>MAX('Marks Input'!$N$4:$N$37)</f>
        <v>60</v>
      </c>
      <c r="G856" s="104">
        <f>MIN('Marks Input'!$N$4:$N$37)</f>
        <v>18</v>
      </c>
      <c r="H856" s="111">
        <f>'Marks Input'!$N$40</f>
        <v>42.94</v>
      </c>
      <c r="I856" s="77">
        <f>'FM-2'!AC27</f>
        <v>1</v>
      </c>
    </row>
    <row r="857" spans="1:9" ht="15" customHeight="1" thickBot="1" x14ac:dyDescent="0.35">
      <c r="A857" s="120" t="str">
        <f>'Marks Input'!$O$2</f>
        <v>Bio./Comp.</v>
      </c>
      <c r="B857" s="112">
        <f>'Marks Input'!$O$3</f>
        <v>100</v>
      </c>
      <c r="C857" s="113">
        <f>'FM-2'!S27</f>
        <v>94</v>
      </c>
      <c r="D857" s="114">
        <f>C857/B857</f>
        <v>0.94</v>
      </c>
      <c r="E857" s="80" t="str">
        <f t="shared" si="71"/>
        <v>A+</v>
      </c>
      <c r="F857" s="115">
        <f>MAX('Marks Input'!$O$4:$O$37)</f>
        <v>40</v>
      </c>
      <c r="G857" s="116">
        <f>MIN('Marks Input'!$O$4:$O$37)</f>
        <v>14</v>
      </c>
      <c r="H857" s="117">
        <f>'Marks Input'!$O$40</f>
        <v>30.44</v>
      </c>
      <c r="I857" s="78">
        <f>'FM-2'!AD27</f>
        <v>1</v>
      </c>
    </row>
    <row r="858" spans="1:9" ht="21" customHeight="1" thickBot="1" x14ac:dyDescent="0.45">
      <c r="A858" s="69" t="s">
        <v>14</v>
      </c>
      <c r="B858" s="70">
        <f>'Marks Input'!$P$3</f>
        <v>900</v>
      </c>
      <c r="C858" s="71">
        <f>'FM-2'!U27</f>
        <v>663</v>
      </c>
      <c r="D858" s="72">
        <f t="shared" ref="D858" si="73">C858/B858</f>
        <v>0.73666666666666669</v>
      </c>
      <c r="E858" s="73" t="str">
        <f t="shared" si="71"/>
        <v>B</v>
      </c>
      <c r="F858" s="70">
        <f>MAX('Marks Input'!$P$4:$P$37)</f>
        <v>673</v>
      </c>
      <c r="G858" s="71">
        <f>MIN('Marks Input'!$P$4:$P$37)</f>
        <v>322</v>
      </c>
      <c r="H858" s="74">
        <f>'Marks Input'!$P$40</f>
        <v>493.26</v>
      </c>
      <c r="I858" s="75">
        <f>'FM-2'!AF27</f>
        <v>2</v>
      </c>
    </row>
    <row r="859" spans="1:9" ht="21" customHeight="1" thickBot="1" x14ac:dyDescent="0.35">
      <c r="A859" s="196" t="s">
        <v>15</v>
      </c>
      <c r="B859" s="197"/>
      <c r="C859" s="197"/>
      <c r="H859" s="82"/>
      <c r="I859" s="83"/>
    </row>
    <row r="860" spans="1:9" ht="35.1" customHeight="1" x14ac:dyDescent="0.3">
      <c r="A860" s="198" t="str">
        <f>IF(D858&gt;0.399,"Promoted Successfully","Not Promoted")</f>
        <v>Promoted Successfully</v>
      </c>
      <c r="B860" s="199"/>
      <c r="C860" s="199"/>
      <c r="D860" s="199"/>
      <c r="E860" s="199"/>
      <c r="F860" s="199"/>
      <c r="G860" s="199"/>
      <c r="H860" s="199"/>
      <c r="I860" s="200"/>
    </row>
    <row r="861" spans="1:9" ht="35.1" customHeight="1" thickBot="1" x14ac:dyDescent="0.35">
      <c r="A861" s="201"/>
      <c r="B861" s="202"/>
      <c r="C861" s="202"/>
      <c r="D861" s="202"/>
      <c r="E861" s="202"/>
      <c r="F861" s="202"/>
      <c r="G861" s="202"/>
      <c r="H861" s="202"/>
      <c r="I861" s="203"/>
    </row>
    <row r="862" spans="1:9" ht="30" customHeight="1" x14ac:dyDescent="0.3">
      <c r="A862" s="84"/>
      <c r="B862" s="85"/>
      <c r="C862" s="85"/>
      <c r="D862" s="121" t="s">
        <v>140</v>
      </c>
      <c r="E862" s="86"/>
      <c r="F862" s="86"/>
      <c r="G862" s="204"/>
      <c r="H862" s="204"/>
      <c r="I862" s="205"/>
    </row>
    <row r="863" spans="1:9" ht="30" customHeight="1" x14ac:dyDescent="0.3">
      <c r="A863" s="84"/>
      <c r="D863" s="121" t="s">
        <v>16</v>
      </c>
      <c r="E863" s="86"/>
      <c r="F863" s="86"/>
      <c r="G863" s="206"/>
      <c r="H863" s="206"/>
      <c r="I863" s="207"/>
    </row>
    <row r="864" spans="1:9" ht="15" customHeight="1" x14ac:dyDescent="0.3">
      <c r="A864" s="84"/>
      <c r="F864" s="208" t="str">
        <f>A841</f>
        <v>APS Hazro</v>
      </c>
      <c r="G864" s="208"/>
      <c r="H864" s="208"/>
      <c r="I864" s="209"/>
    </row>
    <row r="865" spans="1:9" ht="15" customHeight="1" thickBot="1" x14ac:dyDescent="0.35">
      <c r="A865" s="210"/>
      <c r="B865" s="211"/>
      <c r="C865" s="211"/>
      <c r="D865" s="211"/>
      <c r="E865" s="211"/>
      <c r="F865" s="211"/>
      <c r="G865" s="211"/>
      <c r="H865" s="211"/>
      <c r="I865" s="212"/>
    </row>
    <row r="866" spans="1:9" ht="15" customHeight="1" x14ac:dyDescent="0.3">
      <c r="A866" s="213"/>
      <c r="B866" s="214"/>
      <c r="C866" s="214"/>
      <c r="D866" s="214"/>
      <c r="E866" s="214"/>
      <c r="F866" s="214"/>
      <c r="G866" s="214"/>
      <c r="H866" s="214"/>
      <c r="I866" s="215"/>
    </row>
    <row r="867" spans="1:9" ht="21" customHeight="1" x14ac:dyDescent="0.35">
      <c r="A867" s="87" t="s">
        <v>17</v>
      </c>
      <c r="B867" s="105">
        <f>H845</f>
        <v>25</v>
      </c>
      <c r="C867" s="88"/>
      <c r="D867" s="89" t="s">
        <v>3</v>
      </c>
      <c r="E867" s="89" t="str">
        <f>E845</f>
        <v>7TH</v>
      </c>
      <c r="F867" s="90" t="s">
        <v>18</v>
      </c>
      <c r="G867" s="216" t="str">
        <f>E858</f>
        <v>B</v>
      </c>
      <c r="H867" s="216"/>
      <c r="I867" s="217"/>
    </row>
    <row r="868" spans="1:9" ht="30" customHeight="1" x14ac:dyDescent="0.3">
      <c r="A868" s="176" t="s">
        <v>210</v>
      </c>
      <c r="B868" s="177"/>
      <c r="C868" s="218"/>
      <c r="D868" s="218"/>
      <c r="E868" s="187" t="s">
        <v>19</v>
      </c>
      <c r="F868" s="187"/>
      <c r="G868" s="219">
        <f>'FM-2'!G27</f>
        <v>3005327691</v>
      </c>
      <c r="H868" s="219"/>
      <c r="I868" s="220"/>
    </row>
    <row r="869" spans="1:9" ht="30" customHeight="1" x14ac:dyDescent="0.3">
      <c r="A869" s="176" t="s">
        <v>20</v>
      </c>
      <c r="B869" s="177"/>
      <c r="C869" s="178"/>
      <c r="D869" s="178"/>
      <c r="E869" s="178"/>
      <c r="F869" s="178"/>
      <c r="G869" s="178"/>
      <c r="H869" s="178"/>
      <c r="I869" s="179"/>
    </row>
    <row r="870" spans="1:9" ht="30" customHeight="1" x14ac:dyDescent="0.3">
      <c r="A870" s="180"/>
      <c r="B870" s="181"/>
      <c r="C870" s="181"/>
      <c r="D870" s="181"/>
      <c r="E870" s="181"/>
      <c r="F870" s="181"/>
      <c r="G870" s="181"/>
      <c r="H870" s="181"/>
      <c r="I870" s="182"/>
    </row>
    <row r="871" spans="1:9" ht="21" customHeight="1" x14ac:dyDescent="0.3">
      <c r="A871" s="183"/>
      <c r="B871" s="184"/>
      <c r="C871" s="184"/>
      <c r="D871" s="184"/>
      <c r="E871" s="184"/>
      <c r="F871" s="184"/>
      <c r="G871" s="184"/>
      <c r="H871" s="184"/>
      <c r="I871" s="185"/>
    </row>
    <row r="872" spans="1:9" ht="21" customHeight="1" x14ac:dyDescent="0.3">
      <c r="A872" s="91" t="s">
        <v>207</v>
      </c>
      <c r="B872" s="186">
        <f ca="1">TODAY()</f>
        <v>46315</v>
      </c>
      <c r="C872" s="186"/>
      <c r="D872" s="187" t="s">
        <v>141</v>
      </c>
      <c r="E872" s="187"/>
      <c r="F872" s="187"/>
      <c r="G872" s="188"/>
      <c r="H872" s="188"/>
      <c r="I872" s="189"/>
    </row>
    <row r="873" spans="1:9" ht="21" customHeight="1" x14ac:dyDescent="0.3">
      <c r="A873" s="190" t="s">
        <v>211</v>
      </c>
      <c r="B873" s="191"/>
      <c r="C873" s="191"/>
      <c r="D873" s="191"/>
      <c r="E873" s="191"/>
      <c r="F873" s="191"/>
      <c r="G873" s="191"/>
      <c r="H873" s="191"/>
      <c r="I873" s="192"/>
    </row>
    <row r="874" spans="1:9" ht="15" customHeight="1" x14ac:dyDescent="0.3">
      <c r="A874" s="190"/>
      <c r="B874" s="191"/>
      <c r="C874" s="191"/>
      <c r="D874" s="191"/>
      <c r="E874" s="191"/>
      <c r="F874" s="191"/>
      <c r="G874" s="191"/>
      <c r="H874" s="191"/>
      <c r="I874" s="192"/>
    </row>
    <row r="875" spans="1:9" ht="15" thickBot="1" x14ac:dyDescent="0.35">
      <c r="A875" s="193"/>
      <c r="B875" s="194"/>
      <c r="C875" s="194"/>
      <c r="D875" s="194"/>
      <c r="E875" s="194"/>
      <c r="F875" s="194"/>
      <c r="G875" s="194"/>
      <c r="H875" s="194"/>
      <c r="I875" s="195"/>
    </row>
    <row r="876" spans="1:9" ht="41.1" customHeight="1" thickBot="1" x14ac:dyDescent="0.35">
      <c r="A876" s="240" t="str">
        <f>'FM-2'!$I$3</f>
        <v>APS Hazro</v>
      </c>
      <c r="B876" s="241"/>
      <c r="C876" s="241"/>
      <c r="D876" s="241"/>
      <c r="E876" s="241"/>
      <c r="F876" s="241"/>
      <c r="G876" s="241"/>
      <c r="H876" s="241"/>
      <c r="I876" s="242"/>
    </row>
    <row r="877" spans="1:9" ht="21" customHeight="1" thickBot="1" x14ac:dyDescent="0.4">
      <c r="A877" s="129" t="str">
        <f>'FM-2'!$J$3</f>
        <v>ANNUAL EXAM 2024</v>
      </c>
      <c r="B877" s="67"/>
      <c r="C877" s="67"/>
      <c r="D877" s="67"/>
      <c r="E877" s="67"/>
      <c r="F877" s="67"/>
      <c r="G877" s="67"/>
      <c r="H877" s="67"/>
      <c r="I877" s="68"/>
    </row>
    <row r="878" spans="1:9" ht="21" customHeight="1" x14ac:dyDescent="0.35">
      <c r="A878" s="122"/>
      <c r="B878" s="123"/>
      <c r="C878" s="123"/>
      <c r="D878" s="123"/>
      <c r="E878" s="123"/>
      <c r="F878" s="123"/>
      <c r="G878" s="123"/>
      <c r="H878" s="123"/>
      <c r="I878" s="124"/>
    </row>
    <row r="879" spans="1:9" ht="21" customHeight="1" x14ac:dyDescent="0.3">
      <c r="A879" s="221" t="s">
        <v>0</v>
      </c>
      <c r="B879" s="222"/>
      <c r="C879" s="98" t="str">
        <f>'FM-2'!E28</f>
        <v>Ali26</v>
      </c>
      <c r="D879" s="98"/>
      <c r="E879" s="98"/>
      <c r="F879" s="222" t="s">
        <v>1</v>
      </c>
      <c r="G879" s="222"/>
      <c r="H879" s="223" t="str">
        <f>'FM-2'!F28</f>
        <v>Khan 26</v>
      </c>
      <c r="I879" s="224"/>
    </row>
    <row r="880" spans="1:9" ht="21" customHeight="1" x14ac:dyDescent="0.3">
      <c r="A880" s="221" t="s">
        <v>2</v>
      </c>
      <c r="B880" s="222"/>
      <c r="C880" s="92">
        <f>'FM-2'!C28</f>
        <v>1025</v>
      </c>
      <c r="D880" s="93" t="s">
        <v>3</v>
      </c>
      <c r="E880" s="92" t="str">
        <f>'FM-2'!$B$3</f>
        <v>7TH</v>
      </c>
      <c r="F880" s="222" t="s">
        <v>4</v>
      </c>
      <c r="G880" s="222"/>
      <c r="H880" s="225">
        <f>'FM-2'!D28</f>
        <v>26</v>
      </c>
      <c r="I880" s="226"/>
    </row>
    <row r="881" spans="1:9" ht="21" customHeight="1" thickBot="1" x14ac:dyDescent="0.35">
      <c r="A881" s="227" t="s">
        <v>206</v>
      </c>
      <c r="B881" s="228"/>
      <c r="C881" s="94">
        <f>COUNTIF('Marks Input'!$B$4:$B$63,"&gt;0")</f>
        <v>34</v>
      </c>
      <c r="D881" s="93"/>
      <c r="E881" s="95"/>
      <c r="F881" s="93"/>
      <c r="G881" s="93"/>
      <c r="H881" s="96"/>
      <c r="I881" s="97"/>
    </row>
    <row r="882" spans="1:9" ht="15.75" customHeight="1" thickBot="1" x14ac:dyDescent="0.35">
      <c r="A882" s="229" t="s">
        <v>5</v>
      </c>
      <c r="B882" s="231" t="s">
        <v>6</v>
      </c>
      <c r="C882" s="233" t="s">
        <v>7</v>
      </c>
      <c r="D882" s="235" t="s">
        <v>209</v>
      </c>
      <c r="E882" s="229" t="s">
        <v>8</v>
      </c>
      <c r="F882" s="237" t="s">
        <v>9</v>
      </c>
      <c r="G882" s="238"/>
      <c r="H882" s="238"/>
      <c r="I882" s="239"/>
    </row>
    <row r="883" spans="1:9" ht="30" customHeight="1" thickBot="1" x14ac:dyDescent="0.35">
      <c r="A883" s="230"/>
      <c r="B883" s="232"/>
      <c r="C883" s="234"/>
      <c r="D883" s="236"/>
      <c r="E883" s="230"/>
      <c r="F883" s="125" t="s">
        <v>10</v>
      </c>
      <c r="G883" s="126" t="s">
        <v>11</v>
      </c>
      <c r="H883" s="127" t="s">
        <v>12</v>
      </c>
      <c r="I883" s="128" t="s">
        <v>208</v>
      </c>
    </row>
    <row r="884" spans="1:9" ht="15" customHeight="1" thickBot="1" x14ac:dyDescent="0.35">
      <c r="A884" s="118" t="str">
        <f>'Marks Input'!$G$2</f>
        <v>Urdu</v>
      </c>
      <c r="B884" s="106">
        <f>'Marks Input'!$G$3</f>
        <v>100</v>
      </c>
      <c r="C884" s="99">
        <f>'FM-2'!K28</f>
        <v>64</v>
      </c>
      <c r="D884" s="107">
        <f>C884/B884</f>
        <v>0.64</v>
      </c>
      <c r="E884" s="79" t="str">
        <f>IF(D884&gt;0.899,"A+",IF(D884&gt;0.799,"A",IF(D884&gt;0.699,"B",IF(D884&gt;0.599,"C",IF(D884&gt;0.499,"D",IF(D884&gt;0.399,"E","F"))))))</f>
        <v>C</v>
      </c>
      <c r="F884" s="100">
        <f>MAX('Marks Input'!$G$4:$G$37)</f>
        <v>72</v>
      </c>
      <c r="G884" s="101">
        <f>MIN('Marks Input'!$G$4:$G$37)</f>
        <v>40</v>
      </c>
      <c r="H884" s="108">
        <f>'Marks Input'!$G$40</f>
        <v>62.59</v>
      </c>
      <c r="I884" s="76">
        <f>'FM-2'!V28</f>
        <v>18</v>
      </c>
    </row>
    <row r="885" spans="1:9" ht="15" customHeight="1" thickBot="1" x14ac:dyDescent="0.35">
      <c r="A885" s="119" t="str">
        <f>'Marks Input'!$H$2</f>
        <v>English</v>
      </c>
      <c r="B885" s="109">
        <f>'Marks Input'!$H$3</f>
        <v>100</v>
      </c>
      <c r="C885" s="102">
        <f>'FM-2'!L28</f>
        <v>44</v>
      </c>
      <c r="D885" s="110">
        <f>C885/B885</f>
        <v>0.44</v>
      </c>
      <c r="E885" s="79" t="str">
        <f t="shared" ref="E885:E893" si="74">IF(D885&gt;0.899,"A+",IF(D885&gt;0.799,"A",IF(D885&gt;0.699,"B",IF(D885&gt;0.599,"C",IF(D885&gt;0.499,"D",IF(D885&gt;0.399,"E","F"))))))</f>
        <v>E</v>
      </c>
      <c r="F885" s="103">
        <f>MAX('Marks Input'!$H$4:$H$37)</f>
        <v>74</v>
      </c>
      <c r="G885" s="104">
        <f>MIN('Marks Input'!$H$4:$H$37)</f>
        <v>30</v>
      </c>
      <c r="H885" s="111">
        <f>'Marks Input'!$H$40</f>
        <v>43.26</v>
      </c>
      <c r="I885" s="77">
        <f>'FM-2'!W28</f>
        <v>13</v>
      </c>
    </row>
    <row r="886" spans="1:9" ht="15" customHeight="1" thickBot="1" x14ac:dyDescent="0.35">
      <c r="A886" s="119" t="str">
        <f>'Marks Input'!$I$2</f>
        <v>Islamiyat</v>
      </c>
      <c r="B886" s="109">
        <f>'Marks Input'!$I$3</f>
        <v>100</v>
      </c>
      <c r="C886" s="102">
        <f>'FM-2'!M28</f>
        <v>45</v>
      </c>
      <c r="D886" s="110">
        <f t="shared" ref="D886:D891" si="75">C886/B886</f>
        <v>0.45</v>
      </c>
      <c r="E886" s="79" t="str">
        <f t="shared" si="74"/>
        <v>E</v>
      </c>
      <c r="F886" s="103">
        <f>MAX('Marks Input'!$I$4:$I$37)</f>
        <v>88</v>
      </c>
      <c r="G886" s="104">
        <f>MIN('Marks Input'!$I$4:$I$37)</f>
        <v>34</v>
      </c>
      <c r="H886" s="111">
        <f>'Marks Input'!$I$40</f>
        <v>48.29</v>
      </c>
      <c r="I886" s="77">
        <f>'FM-2'!X28</f>
        <v>17</v>
      </c>
    </row>
    <row r="887" spans="1:9" ht="15" customHeight="1" thickBot="1" x14ac:dyDescent="0.35">
      <c r="A887" s="119" t="str">
        <f>'Marks Input'!$J$2</f>
        <v>Pak Studies</v>
      </c>
      <c r="B887" s="109">
        <f>'Marks Input'!$J$3</f>
        <v>100</v>
      </c>
      <c r="C887" s="102">
        <f>'FM-2'!N28</f>
        <v>66</v>
      </c>
      <c r="D887" s="110">
        <f t="shared" si="75"/>
        <v>0.66</v>
      </c>
      <c r="E887" s="79" t="str">
        <f t="shared" si="74"/>
        <v>C</v>
      </c>
      <c r="F887" s="103">
        <f>MAX('Marks Input'!$J$4:$J$37)</f>
        <v>96</v>
      </c>
      <c r="G887" s="104">
        <f>MIN('Marks Input'!$J$4:$J$37)</f>
        <v>34</v>
      </c>
      <c r="H887" s="111">
        <f>'Marks Input'!$J$40</f>
        <v>71.03</v>
      </c>
      <c r="I887" s="77">
        <f>'FM-2'!Y28</f>
        <v>11</v>
      </c>
    </row>
    <row r="888" spans="1:9" ht="15" customHeight="1" thickBot="1" x14ac:dyDescent="0.35">
      <c r="A888" s="119" t="str">
        <f>'Marks Input'!$K$2</f>
        <v>Maths</v>
      </c>
      <c r="B888" s="109">
        <f>'Marks Input'!$K$3</f>
        <v>100</v>
      </c>
      <c r="C888" s="102">
        <f>'FM-2'!O28</f>
        <v>40</v>
      </c>
      <c r="D888" s="110">
        <f t="shared" si="75"/>
        <v>0.4</v>
      </c>
      <c r="E888" s="79" t="str">
        <f t="shared" si="74"/>
        <v>E</v>
      </c>
      <c r="F888" s="103">
        <f>MAX('Marks Input'!$K$4:$K$37)</f>
        <v>94</v>
      </c>
      <c r="G888" s="104">
        <f>MIN('Marks Input'!$K$4:$K$37)</f>
        <v>57</v>
      </c>
      <c r="H888" s="111">
        <f>'Marks Input'!$K$40</f>
        <v>75.819999999999993</v>
      </c>
      <c r="I888" s="77">
        <f>'FM-2'!Z28</f>
        <v>19</v>
      </c>
    </row>
    <row r="889" spans="1:9" ht="15" customHeight="1" thickBot="1" x14ac:dyDescent="0.35">
      <c r="A889" s="119" t="str">
        <f>'Marks Input'!$L$2</f>
        <v>Sci./ Che.</v>
      </c>
      <c r="B889" s="109">
        <f>'Marks Input'!$L$3</f>
        <v>100</v>
      </c>
      <c r="C889" s="102">
        <f>'FM-2'!P28</f>
        <v>70</v>
      </c>
      <c r="D889" s="110">
        <f t="shared" si="75"/>
        <v>0.7</v>
      </c>
      <c r="E889" s="79" t="str">
        <f t="shared" si="74"/>
        <v>B</v>
      </c>
      <c r="F889" s="103">
        <f>MAX('Marks Input'!$L$4:$L$37)</f>
        <v>98</v>
      </c>
      <c r="G889" s="104">
        <f>MIN('Marks Input'!$L$4:$L$37)</f>
        <v>40</v>
      </c>
      <c r="H889" s="111">
        <f>'Marks Input'!$L$40</f>
        <v>61.09</v>
      </c>
      <c r="I889" s="77">
        <f>'FM-2'!AA28</f>
        <v>19</v>
      </c>
    </row>
    <row r="890" spans="1:9" ht="15" customHeight="1" thickBot="1" x14ac:dyDescent="0.35">
      <c r="A890" s="119" t="str">
        <f>'Marks Input'!$M$2</f>
        <v>Nazra</v>
      </c>
      <c r="B890" s="109">
        <f>'Marks Input'!$M$3</f>
        <v>100</v>
      </c>
      <c r="C890" s="102">
        <f>'FM-2'!Q28</f>
        <v>75</v>
      </c>
      <c r="D890" s="110">
        <f t="shared" si="75"/>
        <v>0.75</v>
      </c>
      <c r="E890" s="79" t="str">
        <f t="shared" si="74"/>
        <v>B</v>
      </c>
      <c r="F890" s="103">
        <f>MAX('Marks Input'!$M$4:$M$37)</f>
        <v>94</v>
      </c>
      <c r="G890" s="104">
        <f>MIN('Marks Input'!$M$4:$M$37)</f>
        <v>32</v>
      </c>
      <c r="H890" s="111">
        <f>'Marks Input'!$M$40</f>
        <v>57.79</v>
      </c>
      <c r="I890" s="77">
        <f>'FM-2'!AB28</f>
        <v>5</v>
      </c>
    </row>
    <row r="891" spans="1:9" ht="15" customHeight="1" thickBot="1" x14ac:dyDescent="0.35">
      <c r="A891" s="119" t="str">
        <f>'Marks Input'!$N$2</f>
        <v>Physics</v>
      </c>
      <c r="B891" s="109">
        <f>'Marks Input'!$N$3</f>
        <v>100</v>
      </c>
      <c r="C891" s="102">
        <f>'FM-2'!R28</f>
        <v>73</v>
      </c>
      <c r="D891" s="110">
        <f t="shared" si="75"/>
        <v>0.73</v>
      </c>
      <c r="E891" s="79" t="str">
        <f t="shared" si="74"/>
        <v>B</v>
      </c>
      <c r="F891" s="103">
        <f>MAX('Marks Input'!$N$4:$N$37)</f>
        <v>60</v>
      </c>
      <c r="G891" s="104">
        <f>MIN('Marks Input'!$N$4:$N$37)</f>
        <v>18</v>
      </c>
      <c r="H891" s="111">
        <f>'Marks Input'!$N$40</f>
        <v>42.94</v>
      </c>
      <c r="I891" s="77">
        <f>'FM-2'!AC28</f>
        <v>23</v>
      </c>
    </row>
    <row r="892" spans="1:9" ht="15" customHeight="1" thickBot="1" x14ac:dyDescent="0.35">
      <c r="A892" s="120" t="str">
        <f>'Marks Input'!$O$2</f>
        <v>Bio./Comp.</v>
      </c>
      <c r="B892" s="112">
        <f>'Marks Input'!$O$3</f>
        <v>100</v>
      </c>
      <c r="C892" s="113">
        <f>'FM-2'!S28</f>
        <v>75</v>
      </c>
      <c r="D892" s="114">
        <f>C892/B892</f>
        <v>0.75</v>
      </c>
      <c r="E892" s="80" t="str">
        <f t="shared" si="74"/>
        <v>B</v>
      </c>
      <c r="F892" s="115">
        <f>MAX('Marks Input'!$O$4:$O$37)</f>
        <v>40</v>
      </c>
      <c r="G892" s="116">
        <f>MIN('Marks Input'!$O$4:$O$37)</f>
        <v>14</v>
      </c>
      <c r="H892" s="117">
        <f>'Marks Input'!$O$40</f>
        <v>30.44</v>
      </c>
      <c r="I892" s="78">
        <f>'FM-2'!AD28</f>
        <v>5</v>
      </c>
    </row>
    <row r="893" spans="1:9" ht="21" customHeight="1" thickBot="1" x14ac:dyDescent="0.45">
      <c r="A893" s="69" t="s">
        <v>14</v>
      </c>
      <c r="B893" s="70">
        <f>'Marks Input'!$P$3</f>
        <v>900</v>
      </c>
      <c r="C893" s="71">
        <f>'FM-2'!U28</f>
        <v>509</v>
      </c>
      <c r="D893" s="72">
        <f t="shared" ref="D893" si="76">C893/B893</f>
        <v>0.56555555555555559</v>
      </c>
      <c r="E893" s="73" t="str">
        <f t="shared" si="74"/>
        <v>D</v>
      </c>
      <c r="F893" s="70">
        <f>MAX('Marks Input'!$P$4:$P$37)</f>
        <v>673</v>
      </c>
      <c r="G893" s="71">
        <f>MIN('Marks Input'!$P$4:$P$37)</f>
        <v>322</v>
      </c>
      <c r="H893" s="74">
        <f>'Marks Input'!$P$40</f>
        <v>493.26</v>
      </c>
      <c r="I893" s="75">
        <f>'FM-2'!AF28</f>
        <v>15</v>
      </c>
    </row>
    <row r="894" spans="1:9" ht="21" customHeight="1" thickBot="1" x14ac:dyDescent="0.35">
      <c r="A894" s="196" t="s">
        <v>15</v>
      </c>
      <c r="B894" s="197"/>
      <c r="C894" s="197"/>
      <c r="H894" s="82"/>
      <c r="I894" s="83"/>
    </row>
    <row r="895" spans="1:9" ht="35.1" customHeight="1" x14ac:dyDescent="0.3">
      <c r="A895" s="198" t="str">
        <f>IF(D893&gt;0.399,"Promoted Successfully","Not Promoted")</f>
        <v>Promoted Successfully</v>
      </c>
      <c r="B895" s="199"/>
      <c r="C895" s="199"/>
      <c r="D895" s="199"/>
      <c r="E895" s="199"/>
      <c r="F895" s="199"/>
      <c r="G895" s="199"/>
      <c r="H895" s="199"/>
      <c r="I895" s="200"/>
    </row>
    <row r="896" spans="1:9" ht="35.1" customHeight="1" thickBot="1" x14ac:dyDescent="0.35">
      <c r="A896" s="201"/>
      <c r="B896" s="202"/>
      <c r="C896" s="202"/>
      <c r="D896" s="202"/>
      <c r="E896" s="202"/>
      <c r="F896" s="202"/>
      <c r="G896" s="202"/>
      <c r="H896" s="202"/>
      <c r="I896" s="203"/>
    </row>
    <row r="897" spans="1:9" ht="30" customHeight="1" x14ac:dyDescent="0.3">
      <c r="A897" s="84"/>
      <c r="B897" s="85"/>
      <c r="C897" s="85"/>
      <c r="D897" s="121" t="s">
        <v>140</v>
      </c>
      <c r="E897" s="86"/>
      <c r="F897" s="86"/>
      <c r="G897" s="204"/>
      <c r="H897" s="204"/>
      <c r="I897" s="205"/>
    </row>
    <row r="898" spans="1:9" ht="30" customHeight="1" x14ac:dyDescent="0.3">
      <c r="A898" s="84"/>
      <c r="D898" s="121" t="s">
        <v>16</v>
      </c>
      <c r="E898" s="86"/>
      <c r="F898" s="86"/>
      <c r="G898" s="206"/>
      <c r="H898" s="206"/>
      <c r="I898" s="207"/>
    </row>
    <row r="899" spans="1:9" ht="15" customHeight="1" x14ac:dyDescent="0.3">
      <c r="A899" s="84"/>
      <c r="F899" s="208" t="str">
        <f>A876</f>
        <v>APS Hazro</v>
      </c>
      <c r="G899" s="208"/>
      <c r="H899" s="208"/>
      <c r="I899" s="209"/>
    </row>
    <row r="900" spans="1:9" ht="15" customHeight="1" thickBot="1" x14ac:dyDescent="0.35">
      <c r="A900" s="210"/>
      <c r="B900" s="211"/>
      <c r="C900" s="211"/>
      <c r="D900" s="211"/>
      <c r="E900" s="211"/>
      <c r="F900" s="211"/>
      <c r="G900" s="211"/>
      <c r="H900" s="211"/>
      <c r="I900" s="212"/>
    </row>
    <row r="901" spans="1:9" ht="15" customHeight="1" x14ac:dyDescent="0.3">
      <c r="A901" s="213"/>
      <c r="B901" s="214"/>
      <c r="C901" s="214"/>
      <c r="D901" s="214"/>
      <c r="E901" s="214"/>
      <c r="F901" s="214"/>
      <c r="G901" s="214"/>
      <c r="H901" s="214"/>
      <c r="I901" s="215"/>
    </row>
    <row r="902" spans="1:9" ht="21" customHeight="1" x14ac:dyDescent="0.35">
      <c r="A902" s="87" t="s">
        <v>17</v>
      </c>
      <c r="B902" s="105">
        <f>H880</f>
        <v>26</v>
      </c>
      <c r="C902" s="88"/>
      <c r="D902" s="89" t="s">
        <v>3</v>
      </c>
      <c r="E902" s="89" t="str">
        <f>E880</f>
        <v>7TH</v>
      </c>
      <c r="F902" s="90" t="s">
        <v>18</v>
      </c>
      <c r="G902" s="216" t="str">
        <f>E893</f>
        <v>D</v>
      </c>
      <c r="H902" s="216"/>
      <c r="I902" s="217"/>
    </row>
    <row r="903" spans="1:9" ht="30" customHeight="1" x14ac:dyDescent="0.3">
      <c r="A903" s="176" t="s">
        <v>210</v>
      </c>
      <c r="B903" s="177"/>
      <c r="C903" s="218"/>
      <c r="D903" s="218"/>
      <c r="E903" s="187" t="s">
        <v>19</v>
      </c>
      <c r="F903" s="187"/>
      <c r="G903" s="219">
        <f>'FM-2'!G28</f>
        <v>3005327732</v>
      </c>
      <c r="H903" s="219"/>
      <c r="I903" s="220"/>
    </row>
    <row r="904" spans="1:9" ht="30" customHeight="1" x14ac:dyDescent="0.3">
      <c r="A904" s="176" t="s">
        <v>20</v>
      </c>
      <c r="B904" s="177"/>
      <c r="C904" s="178"/>
      <c r="D904" s="178"/>
      <c r="E904" s="178"/>
      <c r="F904" s="178"/>
      <c r="G904" s="178"/>
      <c r="H904" s="178"/>
      <c r="I904" s="179"/>
    </row>
    <row r="905" spans="1:9" ht="30" customHeight="1" x14ac:dyDescent="0.3">
      <c r="A905" s="180"/>
      <c r="B905" s="181"/>
      <c r="C905" s="181"/>
      <c r="D905" s="181"/>
      <c r="E905" s="181"/>
      <c r="F905" s="181"/>
      <c r="G905" s="181"/>
      <c r="H905" s="181"/>
      <c r="I905" s="182"/>
    </row>
    <row r="906" spans="1:9" ht="21" customHeight="1" x14ac:dyDescent="0.3">
      <c r="A906" s="183"/>
      <c r="B906" s="184"/>
      <c r="C906" s="184"/>
      <c r="D906" s="184"/>
      <c r="E906" s="184"/>
      <c r="F906" s="184"/>
      <c r="G906" s="184"/>
      <c r="H906" s="184"/>
      <c r="I906" s="185"/>
    </row>
    <row r="907" spans="1:9" ht="21" customHeight="1" x14ac:dyDescent="0.3">
      <c r="A907" s="91" t="s">
        <v>207</v>
      </c>
      <c r="B907" s="186">
        <f ca="1">TODAY()</f>
        <v>46315</v>
      </c>
      <c r="C907" s="186"/>
      <c r="D907" s="187" t="s">
        <v>141</v>
      </c>
      <c r="E907" s="187"/>
      <c r="F907" s="187"/>
      <c r="G907" s="188"/>
      <c r="H907" s="188"/>
      <c r="I907" s="189"/>
    </row>
    <row r="908" spans="1:9" ht="21" customHeight="1" x14ac:dyDescent="0.3">
      <c r="A908" s="190" t="s">
        <v>211</v>
      </c>
      <c r="B908" s="191"/>
      <c r="C908" s="191"/>
      <c r="D908" s="191"/>
      <c r="E908" s="191"/>
      <c r="F908" s="191"/>
      <c r="G908" s="191"/>
      <c r="H908" s="191"/>
      <c r="I908" s="192"/>
    </row>
    <row r="909" spans="1:9" ht="15" customHeight="1" x14ac:dyDescent="0.3">
      <c r="A909" s="190"/>
      <c r="B909" s="191"/>
      <c r="C909" s="191"/>
      <c r="D909" s="191"/>
      <c r="E909" s="191"/>
      <c r="F909" s="191"/>
      <c r="G909" s="191"/>
      <c r="H909" s="191"/>
      <c r="I909" s="192"/>
    </row>
    <row r="910" spans="1:9" ht="15" thickBot="1" x14ac:dyDescent="0.35">
      <c r="A910" s="193"/>
      <c r="B910" s="194"/>
      <c r="C910" s="194"/>
      <c r="D910" s="194"/>
      <c r="E910" s="194"/>
      <c r="F910" s="194"/>
      <c r="G910" s="194"/>
      <c r="H910" s="194"/>
      <c r="I910" s="195"/>
    </row>
    <row r="911" spans="1:9" ht="41.1" customHeight="1" thickBot="1" x14ac:dyDescent="0.35">
      <c r="A911" s="240" t="str">
        <f>'FM-2'!$I$3</f>
        <v>APS Hazro</v>
      </c>
      <c r="B911" s="241"/>
      <c r="C911" s="241"/>
      <c r="D911" s="241"/>
      <c r="E911" s="241"/>
      <c r="F911" s="241"/>
      <c r="G911" s="241"/>
      <c r="H911" s="241"/>
      <c r="I911" s="242"/>
    </row>
    <row r="912" spans="1:9" ht="21" customHeight="1" thickBot="1" x14ac:dyDescent="0.4">
      <c r="A912" s="129" t="str">
        <f>'FM-2'!$J$3</f>
        <v>ANNUAL EXAM 2024</v>
      </c>
      <c r="B912" s="67"/>
      <c r="C912" s="67"/>
      <c r="D912" s="67"/>
      <c r="E912" s="67"/>
      <c r="F912" s="67"/>
      <c r="G912" s="67"/>
      <c r="H912" s="67"/>
      <c r="I912" s="68"/>
    </row>
    <row r="913" spans="1:9" ht="21" customHeight="1" x14ac:dyDescent="0.35">
      <c r="A913" s="122"/>
      <c r="B913" s="123"/>
      <c r="C913" s="123"/>
      <c r="D913" s="123"/>
      <c r="E913" s="123"/>
      <c r="F913" s="123"/>
      <c r="G913" s="123"/>
      <c r="H913" s="123"/>
      <c r="I913" s="124"/>
    </row>
    <row r="914" spans="1:9" ht="21" customHeight="1" x14ac:dyDescent="0.3">
      <c r="A914" s="221" t="s">
        <v>0</v>
      </c>
      <c r="B914" s="222"/>
      <c r="C914" s="98" t="str">
        <f>'FM-2'!E29</f>
        <v>Ali27</v>
      </c>
      <c r="D914" s="98"/>
      <c r="E914" s="98"/>
      <c r="F914" s="222" t="s">
        <v>1</v>
      </c>
      <c r="G914" s="222"/>
      <c r="H914" s="223" t="str">
        <f>'FM-2'!F29</f>
        <v>Khan 27</v>
      </c>
      <c r="I914" s="224"/>
    </row>
    <row r="915" spans="1:9" ht="21" customHeight="1" x14ac:dyDescent="0.3">
      <c r="A915" s="221" t="s">
        <v>2</v>
      </c>
      <c r="B915" s="222"/>
      <c r="C915" s="92">
        <f>'FM-2'!C29</f>
        <v>1026</v>
      </c>
      <c r="D915" s="93" t="s">
        <v>3</v>
      </c>
      <c r="E915" s="92" t="str">
        <f>'FM-2'!$B$3</f>
        <v>7TH</v>
      </c>
      <c r="F915" s="222" t="s">
        <v>4</v>
      </c>
      <c r="G915" s="222"/>
      <c r="H915" s="225">
        <f>'FM-2'!D29</f>
        <v>27</v>
      </c>
      <c r="I915" s="226"/>
    </row>
    <row r="916" spans="1:9" ht="21" customHeight="1" thickBot="1" x14ac:dyDescent="0.35">
      <c r="A916" s="227" t="s">
        <v>206</v>
      </c>
      <c r="B916" s="228"/>
      <c r="C916" s="94">
        <f>COUNTIF('Marks Input'!$B$4:$B$63,"&gt;0")</f>
        <v>34</v>
      </c>
      <c r="D916" s="93"/>
      <c r="E916" s="95"/>
      <c r="F916" s="93"/>
      <c r="G916" s="93"/>
      <c r="H916" s="96"/>
      <c r="I916" s="97"/>
    </row>
    <row r="917" spans="1:9" ht="15.75" customHeight="1" thickBot="1" x14ac:dyDescent="0.35">
      <c r="A917" s="229" t="s">
        <v>5</v>
      </c>
      <c r="B917" s="231" t="s">
        <v>6</v>
      </c>
      <c r="C917" s="233" t="s">
        <v>7</v>
      </c>
      <c r="D917" s="235" t="s">
        <v>209</v>
      </c>
      <c r="E917" s="229" t="s">
        <v>8</v>
      </c>
      <c r="F917" s="237" t="s">
        <v>9</v>
      </c>
      <c r="G917" s="238"/>
      <c r="H917" s="238"/>
      <c r="I917" s="239"/>
    </row>
    <row r="918" spans="1:9" ht="30" customHeight="1" thickBot="1" x14ac:dyDescent="0.35">
      <c r="A918" s="230"/>
      <c r="B918" s="232"/>
      <c r="C918" s="234"/>
      <c r="D918" s="236"/>
      <c r="E918" s="230"/>
      <c r="F918" s="125" t="s">
        <v>10</v>
      </c>
      <c r="G918" s="126" t="s">
        <v>11</v>
      </c>
      <c r="H918" s="127" t="s">
        <v>12</v>
      </c>
      <c r="I918" s="128" t="s">
        <v>208</v>
      </c>
    </row>
    <row r="919" spans="1:9" ht="15" customHeight="1" thickBot="1" x14ac:dyDescent="0.35">
      <c r="A919" s="118" t="str">
        <f>'Marks Input'!$G$2</f>
        <v>Urdu</v>
      </c>
      <c r="B919" s="106">
        <f>'Marks Input'!$G$3</f>
        <v>100</v>
      </c>
      <c r="C919" s="99">
        <f>'FM-2'!K29</f>
        <v>70</v>
      </c>
      <c r="D919" s="107">
        <f>C919/B919</f>
        <v>0.7</v>
      </c>
      <c r="E919" s="79" t="str">
        <f>IF(D919&gt;0.899,"A+",IF(D919&gt;0.799,"A",IF(D919&gt;0.699,"B",IF(D919&gt;0.599,"C",IF(D919&gt;0.499,"D",IF(D919&gt;0.399,"E","F"))))))</f>
        <v>B</v>
      </c>
      <c r="F919" s="100">
        <f>MAX('Marks Input'!$G$4:$G$37)</f>
        <v>72</v>
      </c>
      <c r="G919" s="101">
        <f>MIN('Marks Input'!$G$4:$G$37)</f>
        <v>40</v>
      </c>
      <c r="H919" s="108">
        <f>'Marks Input'!$G$40</f>
        <v>62.59</v>
      </c>
      <c r="I919" s="76">
        <f>'FM-2'!V29</f>
        <v>3</v>
      </c>
    </row>
    <row r="920" spans="1:9" ht="15" customHeight="1" thickBot="1" x14ac:dyDescent="0.35">
      <c r="A920" s="119" t="str">
        <f>'Marks Input'!$H$2</f>
        <v>English</v>
      </c>
      <c r="B920" s="109">
        <f>'Marks Input'!$H$3</f>
        <v>100</v>
      </c>
      <c r="C920" s="102">
        <f>'FM-2'!L29</f>
        <v>74</v>
      </c>
      <c r="D920" s="110">
        <f>C920/B920</f>
        <v>0.74</v>
      </c>
      <c r="E920" s="79" t="str">
        <f t="shared" ref="E920:E928" si="77">IF(D920&gt;0.899,"A+",IF(D920&gt;0.799,"A",IF(D920&gt;0.699,"B",IF(D920&gt;0.599,"C",IF(D920&gt;0.499,"D",IF(D920&gt;0.399,"E","F"))))))</f>
        <v>B</v>
      </c>
      <c r="F920" s="103">
        <f>MAX('Marks Input'!$H$4:$H$37)</f>
        <v>74</v>
      </c>
      <c r="G920" s="104">
        <f>MIN('Marks Input'!$H$4:$H$37)</f>
        <v>30</v>
      </c>
      <c r="H920" s="111">
        <f>'Marks Input'!$H$40</f>
        <v>43.26</v>
      </c>
      <c r="I920" s="77">
        <f>'FM-2'!W29</f>
        <v>1</v>
      </c>
    </row>
    <row r="921" spans="1:9" ht="15" customHeight="1" thickBot="1" x14ac:dyDescent="0.35">
      <c r="A921" s="119" t="str">
        <f>'Marks Input'!$I$2</f>
        <v>Islamiyat</v>
      </c>
      <c r="B921" s="109">
        <f>'Marks Input'!$I$3</f>
        <v>100</v>
      </c>
      <c r="C921" s="102">
        <f>'FM-2'!M29</f>
        <v>59</v>
      </c>
      <c r="D921" s="110">
        <f t="shared" ref="D921:D926" si="78">C921/B921</f>
        <v>0.59</v>
      </c>
      <c r="E921" s="79" t="str">
        <f t="shared" si="77"/>
        <v>D</v>
      </c>
      <c r="F921" s="103">
        <f>MAX('Marks Input'!$I$4:$I$37)</f>
        <v>88</v>
      </c>
      <c r="G921" s="104">
        <f>MIN('Marks Input'!$I$4:$I$37)</f>
        <v>34</v>
      </c>
      <c r="H921" s="111">
        <f>'Marks Input'!$I$40</f>
        <v>48.29</v>
      </c>
      <c r="I921" s="77">
        <f>'FM-2'!X29</f>
        <v>3</v>
      </c>
    </row>
    <row r="922" spans="1:9" ht="15" customHeight="1" thickBot="1" x14ac:dyDescent="0.35">
      <c r="A922" s="119" t="str">
        <f>'Marks Input'!$J$2</f>
        <v>Pak Studies</v>
      </c>
      <c r="B922" s="109">
        <f>'Marks Input'!$J$3</f>
        <v>100</v>
      </c>
      <c r="C922" s="102">
        <f>'FM-2'!N29</f>
        <v>85</v>
      </c>
      <c r="D922" s="110">
        <f t="shared" si="78"/>
        <v>0.85</v>
      </c>
      <c r="E922" s="79" t="str">
        <f t="shared" si="77"/>
        <v>A</v>
      </c>
      <c r="F922" s="103">
        <f>MAX('Marks Input'!$J$4:$J$37)</f>
        <v>96</v>
      </c>
      <c r="G922" s="104">
        <f>MIN('Marks Input'!$J$4:$J$37)</f>
        <v>34</v>
      </c>
      <c r="H922" s="111">
        <f>'Marks Input'!$J$40</f>
        <v>71.03</v>
      </c>
      <c r="I922" s="77">
        <f>'FM-2'!Y29</f>
        <v>5</v>
      </c>
    </row>
    <row r="923" spans="1:9" ht="15" customHeight="1" thickBot="1" x14ac:dyDescent="0.35">
      <c r="A923" s="119" t="str">
        <f>'Marks Input'!$K$2</f>
        <v>Maths</v>
      </c>
      <c r="B923" s="109">
        <f>'Marks Input'!$K$3</f>
        <v>100</v>
      </c>
      <c r="C923" s="102">
        <f>'FM-2'!O29</f>
        <v>64</v>
      </c>
      <c r="D923" s="110">
        <f t="shared" si="78"/>
        <v>0.64</v>
      </c>
      <c r="E923" s="79" t="str">
        <f t="shared" si="77"/>
        <v>C</v>
      </c>
      <c r="F923" s="103">
        <f>MAX('Marks Input'!$K$4:$K$37)</f>
        <v>94</v>
      </c>
      <c r="G923" s="104">
        <f>MIN('Marks Input'!$K$4:$K$37)</f>
        <v>57</v>
      </c>
      <c r="H923" s="111">
        <f>'Marks Input'!$K$40</f>
        <v>75.819999999999993</v>
      </c>
      <c r="I923" s="77">
        <f>'FM-2'!Z29</f>
        <v>3</v>
      </c>
    </row>
    <row r="924" spans="1:9" ht="15" customHeight="1" thickBot="1" x14ac:dyDescent="0.35">
      <c r="A924" s="119" t="str">
        <f>'Marks Input'!$L$2</f>
        <v>Sci./ Che.</v>
      </c>
      <c r="B924" s="109">
        <f>'Marks Input'!$L$3</f>
        <v>100</v>
      </c>
      <c r="C924" s="102">
        <f>'FM-2'!P29</f>
        <v>96</v>
      </c>
      <c r="D924" s="110">
        <f t="shared" si="78"/>
        <v>0.96</v>
      </c>
      <c r="E924" s="79" t="str">
        <f t="shared" si="77"/>
        <v>A+</v>
      </c>
      <c r="F924" s="103">
        <f>MAX('Marks Input'!$L$4:$L$37)</f>
        <v>98</v>
      </c>
      <c r="G924" s="104">
        <f>MIN('Marks Input'!$L$4:$L$37)</f>
        <v>40</v>
      </c>
      <c r="H924" s="111">
        <f>'Marks Input'!$L$40</f>
        <v>61.09</v>
      </c>
      <c r="I924" s="77">
        <f>'FM-2'!AA29</f>
        <v>1</v>
      </c>
    </row>
    <row r="925" spans="1:9" ht="15" customHeight="1" thickBot="1" x14ac:dyDescent="0.35">
      <c r="A925" s="119" t="str">
        <f>'Marks Input'!$M$2</f>
        <v>Nazra</v>
      </c>
      <c r="B925" s="109">
        <f>'Marks Input'!$M$3</f>
        <v>100</v>
      </c>
      <c r="C925" s="102">
        <f>'FM-2'!Q29</f>
        <v>93</v>
      </c>
      <c r="D925" s="110">
        <f t="shared" si="78"/>
        <v>0.93</v>
      </c>
      <c r="E925" s="79" t="str">
        <f t="shared" si="77"/>
        <v>A+</v>
      </c>
      <c r="F925" s="103">
        <f>MAX('Marks Input'!$M$4:$M$37)</f>
        <v>94</v>
      </c>
      <c r="G925" s="104">
        <f>MIN('Marks Input'!$M$4:$M$37)</f>
        <v>32</v>
      </c>
      <c r="H925" s="111">
        <f>'Marks Input'!$M$40</f>
        <v>57.79</v>
      </c>
      <c r="I925" s="77">
        <f>'FM-2'!AB29</f>
        <v>2</v>
      </c>
    </row>
    <row r="926" spans="1:9" ht="15" customHeight="1" thickBot="1" x14ac:dyDescent="0.35">
      <c r="A926" s="119" t="str">
        <f>'Marks Input'!$N$2</f>
        <v>Physics</v>
      </c>
      <c r="B926" s="109">
        <f>'Marks Input'!$N$3</f>
        <v>100</v>
      </c>
      <c r="C926" s="102">
        <f>'FM-2'!R29</f>
        <v>92</v>
      </c>
      <c r="D926" s="110">
        <f t="shared" si="78"/>
        <v>0.92</v>
      </c>
      <c r="E926" s="79" t="str">
        <f t="shared" si="77"/>
        <v>A+</v>
      </c>
      <c r="F926" s="103">
        <f>MAX('Marks Input'!$N$4:$N$37)</f>
        <v>60</v>
      </c>
      <c r="G926" s="104">
        <f>MIN('Marks Input'!$N$4:$N$37)</f>
        <v>18</v>
      </c>
      <c r="H926" s="111">
        <f>'Marks Input'!$N$40</f>
        <v>42.94</v>
      </c>
      <c r="I926" s="77">
        <f>'FM-2'!AC29</f>
        <v>5</v>
      </c>
    </row>
    <row r="927" spans="1:9" ht="15" customHeight="1" thickBot="1" x14ac:dyDescent="0.35">
      <c r="A927" s="120" t="str">
        <f>'Marks Input'!$O$2</f>
        <v>Bio./Comp.</v>
      </c>
      <c r="B927" s="112">
        <f>'Marks Input'!$O$3</f>
        <v>100</v>
      </c>
      <c r="C927" s="113">
        <f>'FM-2'!S29</f>
        <v>93</v>
      </c>
      <c r="D927" s="114">
        <f>C927/B927</f>
        <v>0.93</v>
      </c>
      <c r="E927" s="80" t="str">
        <f t="shared" si="77"/>
        <v>A+</v>
      </c>
      <c r="F927" s="115">
        <f>MAX('Marks Input'!$O$4:$O$37)</f>
        <v>40</v>
      </c>
      <c r="G927" s="116">
        <f>MIN('Marks Input'!$O$4:$O$37)</f>
        <v>14</v>
      </c>
      <c r="H927" s="117">
        <f>'Marks Input'!$O$40</f>
        <v>30.44</v>
      </c>
      <c r="I927" s="78">
        <f>'FM-2'!AD29</f>
        <v>2</v>
      </c>
    </row>
    <row r="928" spans="1:9" ht="21" customHeight="1" thickBot="1" x14ac:dyDescent="0.45">
      <c r="A928" s="69" t="s">
        <v>14</v>
      </c>
      <c r="B928" s="70">
        <f>'Marks Input'!$P$3</f>
        <v>900</v>
      </c>
      <c r="C928" s="71">
        <f>'FM-2'!U29</f>
        <v>673</v>
      </c>
      <c r="D928" s="72">
        <f t="shared" ref="D928" si="79">C928/B928</f>
        <v>0.74777777777777776</v>
      </c>
      <c r="E928" s="73" t="str">
        <f t="shared" si="77"/>
        <v>B</v>
      </c>
      <c r="F928" s="70">
        <f>MAX('Marks Input'!$P$4:$P$37)</f>
        <v>673</v>
      </c>
      <c r="G928" s="71">
        <f>MIN('Marks Input'!$P$4:$P$37)</f>
        <v>322</v>
      </c>
      <c r="H928" s="74">
        <f>'Marks Input'!$P$40</f>
        <v>493.26</v>
      </c>
      <c r="I928" s="75">
        <f>'FM-2'!AF29</f>
        <v>1</v>
      </c>
    </row>
    <row r="929" spans="1:9" ht="21" customHeight="1" thickBot="1" x14ac:dyDescent="0.35">
      <c r="A929" s="196" t="s">
        <v>15</v>
      </c>
      <c r="B929" s="197"/>
      <c r="C929" s="197"/>
      <c r="H929" s="82"/>
      <c r="I929" s="83"/>
    </row>
    <row r="930" spans="1:9" ht="35.1" customHeight="1" x14ac:dyDescent="0.3">
      <c r="A930" s="198" t="str">
        <f>IF(D928&gt;0.399,"Promoted Successfully","Not Promoted")</f>
        <v>Promoted Successfully</v>
      </c>
      <c r="B930" s="199"/>
      <c r="C930" s="199"/>
      <c r="D930" s="199"/>
      <c r="E930" s="199"/>
      <c r="F930" s="199"/>
      <c r="G930" s="199"/>
      <c r="H930" s="199"/>
      <c r="I930" s="200"/>
    </row>
    <row r="931" spans="1:9" ht="35.1" customHeight="1" thickBot="1" x14ac:dyDescent="0.35">
      <c r="A931" s="201"/>
      <c r="B931" s="202"/>
      <c r="C931" s="202"/>
      <c r="D931" s="202"/>
      <c r="E931" s="202"/>
      <c r="F931" s="202"/>
      <c r="G931" s="202"/>
      <c r="H931" s="202"/>
      <c r="I931" s="203"/>
    </row>
    <row r="932" spans="1:9" ht="30" customHeight="1" x14ac:dyDescent="0.3">
      <c r="A932" s="84"/>
      <c r="B932" s="85"/>
      <c r="C932" s="85"/>
      <c r="D932" s="121" t="s">
        <v>140</v>
      </c>
      <c r="E932" s="86"/>
      <c r="F932" s="86"/>
      <c r="G932" s="204"/>
      <c r="H932" s="204"/>
      <c r="I932" s="205"/>
    </row>
    <row r="933" spans="1:9" ht="30" customHeight="1" x14ac:dyDescent="0.3">
      <c r="A933" s="84"/>
      <c r="D933" s="121" t="s">
        <v>16</v>
      </c>
      <c r="E933" s="86"/>
      <c r="F933" s="86"/>
      <c r="G933" s="206"/>
      <c r="H933" s="206"/>
      <c r="I933" s="207"/>
    </row>
    <row r="934" spans="1:9" ht="15" customHeight="1" x14ac:dyDescent="0.3">
      <c r="A934" s="84"/>
      <c r="F934" s="208" t="str">
        <f>A911</f>
        <v>APS Hazro</v>
      </c>
      <c r="G934" s="208"/>
      <c r="H934" s="208"/>
      <c r="I934" s="209"/>
    </row>
    <row r="935" spans="1:9" ht="15" customHeight="1" thickBot="1" x14ac:dyDescent="0.35">
      <c r="A935" s="210"/>
      <c r="B935" s="211"/>
      <c r="C935" s="211"/>
      <c r="D935" s="211"/>
      <c r="E935" s="211"/>
      <c r="F935" s="211"/>
      <c r="G935" s="211"/>
      <c r="H935" s="211"/>
      <c r="I935" s="212"/>
    </row>
    <row r="936" spans="1:9" ht="15" customHeight="1" x14ac:dyDescent="0.3">
      <c r="A936" s="213"/>
      <c r="B936" s="214"/>
      <c r="C936" s="214"/>
      <c r="D936" s="214"/>
      <c r="E936" s="214"/>
      <c r="F936" s="214"/>
      <c r="G936" s="214"/>
      <c r="H936" s="214"/>
      <c r="I936" s="215"/>
    </row>
    <row r="937" spans="1:9" ht="21" customHeight="1" x14ac:dyDescent="0.35">
      <c r="A937" s="87" t="s">
        <v>17</v>
      </c>
      <c r="B937" s="105">
        <f>H915</f>
        <v>27</v>
      </c>
      <c r="C937" s="88"/>
      <c r="D937" s="89" t="s">
        <v>3</v>
      </c>
      <c r="E937" s="89" t="str">
        <f>E915</f>
        <v>7TH</v>
      </c>
      <c r="F937" s="90" t="s">
        <v>18</v>
      </c>
      <c r="G937" s="216" t="str">
        <f>E928</f>
        <v>B</v>
      </c>
      <c r="H937" s="216"/>
      <c r="I937" s="217"/>
    </row>
    <row r="938" spans="1:9" ht="30" customHeight="1" x14ac:dyDescent="0.3">
      <c r="A938" s="176" t="s">
        <v>210</v>
      </c>
      <c r="B938" s="177"/>
      <c r="C938" s="218"/>
      <c r="D938" s="218"/>
      <c r="E938" s="187" t="s">
        <v>19</v>
      </c>
      <c r="F938" s="187"/>
      <c r="G938" s="219">
        <f>'FM-2'!G29</f>
        <v>3005327773</v>
      </c>
      <c r="H938" s="219"/>
      <c r="I938" s="220"/>
    </row>
    <row r="939" spans="1:9" ht="30" customHeight="1" x14ac:dyDescent="0.3">
      <c r="A939" s="176" t="s">
        <v>20</v>
      </c>
      <c r="B939" s="177"/>
      <c r="C939" s="178"/>
      <c r="D939" s="178"/>
      <c r="E939" s="178"/>
      <c r="F939" s="178"/>
      <c r="G939" s="178"/>
      <c r="H939" s="178"/>
      <c r="I939" s="179"/>
    </row>
    <row r="940" spans="1:9" ht="30" customHeight="1" x14ac:dyDescent="0.3">
      <c r="A940" s="180"/>
      <c r="B940" s="181"/>
      <c r="C940" s="181"/>
      <c r="D940" s="181"/>
      <c r="E940" s="181"/>
      <c r="F940" s="181"/>
      <c r="G940" s="181"/>
      <c r="H940" s="181"/>
      <c r="I940" s="182"/>
    </row>
    <row r="941" spans="1:9" ht="21" customHeight="1" x14ac:dyDescent="0.3">
      <c r="A941" s="183"/>
      <c r="B941" s="184"/>
      <c r="C941" s="184"/>
      <c r="D941" s="184"/>
      <c r="E941" s="184"/>
      <c r="F941" s="184"/>
      <c r="G941" s="184"/>
      <c r="H941" s="184"/>
      <c r="I941" s="185"/>
    </row>
    <row r="942" spans="1:9" ht="21" customHeight="1" x14ac:dyDescent="0.3">
      <c r="A942" s="91" t="s">
        <v>207</v>
      </c>
      <c r="B942" s="186">
        <f ca="1">TODAY()</f>
        <v>46315</v>
      </c>
      <c r="C942" s="186"/>
      <c r="D942" s="187" t="s">
        <v>141</v>
      </c>
      <c r="E942" s="187"/>
      <c r="F942" s="187"/>
      <c r="G942" s="188"/>
      <c r="H942" s="188"/>
      <c r="I942" s="189"/>
    </row>
    <row r="943" spans="1:9" ht="21" customHeight="1" x14ac:dyDescent="0.3">
      <c r="A943" s="190" t="s">
        <v>211</v>
      </c>
      <c r="B943" s="191"/>
      <c r="C943" s="191"/>
      <c r="D943" s="191"/>
      <c r="E943" s="191"/>
      <c r="F943" s="191"/>
      <c r="G943" s="191"/>
      <c r="H943" s="191"/>
      <c r="I943" s="192"/>
    </row>
    <row r="944" spans="1:9" ht="15" customHeight="1" x14ac:dyDescent="0.3">
      <c r="A944" s="190"/>
      <c r="B944" s="191"/>
      <c r="C944" s="191"/>
      <c r="D944" s="191"/>
      <c r="E944" s="191"/>
      <c r="F944" s="191"/>
      <c r="G944" s="191"/>
      <c r="H944" s="191"/>
      <c r="I944" s="192"/>
    </row>
    <row r="945" spans="1:9" ht="15" thickBot="1" x14ac:dyDescent="0.35">
      <c r="A945" s="193"/>
      <c r="B945" s="194"/>
      <c r="C945" s="194"/>
      <c r="D945" s="194"/>
      <c r="E945" s="194"/>
      <c r="F945" s="194"/>
      <c r="G945" s="194"/>
      <c r="H945" s="194"/>
      <c r="I945" s="195"/>
    </row>
    <row r="946" spans="1:9" ht="41.1" customHeight="1" thickBot="1" x14ac:dyDescent="0.35">
      <c r="A946" s="240" t="str">
        <f>'FM-2'!$I$3</f>
        <v>APS Hazro</v>
      </c>
      <c r="B946" s="241"/>
      <c r="C946" s="241"/>
      <c r="D946" s="241"/>
      <c r="E946" s="241"/>
      <c r="F946" s="241"/>
      <c r="G946" s="241"/>
      <c r="H946" s="241"/>
      <c r="I946" s="242"/>
    </row>
    <row r="947" spans="1:9" ht="21" customHeight="1" thickBot="1" x14ac:dyDescent="0.4">
      <c r="A947" s="129" t="str">
        <f>'FM-2'!$J$3</f>
        <v>ANNUAL EXAM 2024</v>
      </c>
      <c r="B947" s="67"/>
      <c r="C947" s="67"/>
      <c r="D947" s="67"/>
      <c r="E947" s="67"/>
      <c r="F947" s="67"/>
      <c r="G947" s="67"/>
      <c r="H947" s="67"/>
      <c r="I947" s="68"/>
    </row>
    <row r="948" spans="1:9" ht="21" customHeight="1" x14ac:dyDescent="0.35">
      <c r="A948" s="122"/>
      <c r="B948" s="123"/>
      <c r="C948" s="123"/>
      <c r="D948" s="123"/>
      <c r="E948" s="123"/>
      <c r="F948" s="123"/>
      <c r="G948" s="123"/>
      <c r="H948" s="123"/>
      <c r="I948" s="124"/>
    </row>
    <row r="949" spans="1:9" ht="21" customHeight="1" x14ac:dyDescent="0.3">
      <c r="A949" s="221" t="s">
        <v>0</v>
      </c>
      <c r="B949" s="222"/>
      <c r="C949" s="98" t="str">
        <f>'FM-2'!E30</f>
        <v>Ali28</v>
      </c>
      <c r="D949" s="98"/>
      <c r="E949" s="98"/>
      <c r="F949" s="222" t="s">
        <v>1</v>
      </c>
      <c r="G949" s="222"/>
      <c r="H949" s="223" t="str">
        <f>'FM-2'!F30</f>
        <v>Khan 28</v>
      </c>
      <c r="I949" s="224"/>
    </row>
    <row r="950" spans="1:9" ht="21" customHeight="1" x14ac:dyDescent="0.3">
      <c r="A950" s="221" t="s">
        <v>2</v>
      </c>
      <c r="B950" s="222"/>
      <c r="C950" s="92">
        <f>'FM-2'!C30</f>
        <v>1027</v>
      </c>
      <c r="D950" s="93" t="s">
        <v>3</v>
      </c>
      <c r="E950" s="92" t="str">
        <f>'FM-2'!$B$3</f>
        <v>7TH</v>
      </c>
      <c r="F950" s="222" t="s">
        <v>4</v>
      </c>
      <c r="G950" s="222"/>
      <c r="H950" s="225">
        <f>'FM-2'!D30</f>
        <v>28</v>
      </c>
      <c r="I950" s="226"/>
    </row>
    <row r="951" spans="1:9" ht="21" customHeight="1" thickBot="1" x14ac:dyDescent="0.35">
      <c r="A951" s="227" t="s">
        <v>206</v>
      </c>
      <c r="B951" s="228"/>
      <c r="C951" s="94">
        <f>COUNTIF('Marks Input'!$B$4:$B$63,"&gt;0")</f>
        <v>34</v>
      </c>
      <c r="D951" s="93"/>
      <c r="E951" s="95"/>
      <c r="F951" s="93"/>
      <c r="G951" s="93"/>
      <c r="H951" s="96"/>
      <c r="I951" s="97"/>
    </row>
    <row r="952" spans="1:9" ht="15.75" customHeight="1" thickBot="1" x14ac:dyDescent="0.35">
      <c r="A952" s="229" t="s">
        <v>5</v>
      </c>
      <c r="B952" s="231" t="s">
        <v>6</v>
      </c>
      <c r="C952" s="233" t="s">
        <v>7</v>
      </c>
      <c r="D952" s="235" t="s">
        <v>209</v>
      </c>
      <c r="E952" s="229" t="s">
        <v>8</v>
      </c>
      <c r="F952" s="237" t="s">
        <v>9</v>
      </c>
      <c r="G952" s="238"/>
      <c r="H952" s="238"/>
      <c r="I952" s="239"/>
    </row>
    <row r="953" spans="1:9" ht="30" customHeight="1" thickBot="1" x14ac:dyDescent="0.35">
      <c r="A953" s="230"/>
      <c r="B953" s="232"/>
      <c r="C953" s="234"/>
      <c r="D953" s="236"/>
      <c r="E953" s="230"/>
      <c r="F953" s="125" t="s">
        <v>10</v>
      </c>
      <c r="G953" s="126" t="s">
        <v>11</v>
      </c>
      <c r="H953" s="127" t="s">
        <v>12</v>
      </c>
      <c r="I953" s="128" t="s">
        <v>208</v>
      </c>
    </row>
    <row r="954" spans="1:9" ht="15" customHeight="1" thickBot="1" x14ac:dyDescent="0.35">
      <c r="A954" s="118" t="str">
        <f>'Marks Input'!$G$2</f>
        <v>Urdu</v>
      </c>
      <c r="B954" s="106">
        <f>'Marks Input'!$G$3</f>
        <v>100</v>
      </c>
      <c r="C954" s="99">
        <f>'FM-2'!K30</f>
        <v>68</v>
      </c>
      <c r="D954" s="107">
        <f>C954/B954</f>
        <v>0.68</v>
      </c>
      <c r="E954" s="79" t="str">
        <f>IF(D954&gt;0.899,"A+",IF(D954&gt;0.799,"A",IF(D954&gt;0.699,"B",IF(D954&gt;0.599,"C",IF(D954&gt;0.499,"D",IF(D954&gt;0.399,"E","F"))))))</f>
        <v>C</v>
      </c>
      <c r="F954" s="100">
        <f>MAX('Marks Input'!$G$4:$G$37)</f>
        <v>72</v>
      </c>
      <c r="G954" s="101">
        <f>MIN('Marks Input'!$G$4:$G$37)</f>
        <v>40</v>
      </c>
      <c r="H954" s="108">
        <f>'Marks Input'!$G$40</f>
        <v>62.59</v>
      </c>
      <c r="I954" s="76">
        <f>'FM-2'!V30</f>
        <v>9</v>
      </c>
    </row>
    <row r="955" spans="1:9" ht="15" customHeight="1" thickBot="1" x14ac:dyDescent="0.35">
      <c r="A955" s="119" t="str">
        <f>'Marks Input'!$H$2</f>
        <v>English</v>
      </c>
      <c r="B955" s="109">
        <f>'Marks Input'!$H$3</f>
        <v>100</v>
      </c>
      <c r="C955" s="102">
        <f>'FM-2'!L30</f>
        <v>33</v>
      </c>
      <c r="D955" s="110">
        <f>C955/B955</f>
        <v>0.33</v>
      </c>
      <c r="E955" s="79" t="str">
        <f t="shared" ref="E955:E963" si="80">IF(D955&gt;0.899,"A+",IF(D955&gt;0.799,"A",IF(D955&gt;0.699,"B",IF(D955&gt;0.599,"C",IF(D955&gt;0.499,"D",IF(D955&gt;0.399,"E","F"))))))</f>
        <v>F</v>
      </c>
      <c r="F955" s="103">
        <f>MAX('Marks Input'!$H$4:$H$37)</f>
        <v>74</v>
      </c>
      <c r="G955" s="104">
        <f>MIN('Marks Input'!$H$4:$H$37)</f>
        <v>30</v>
      </c>
      <c r="H955" s="111">
        <f>'Marks Input'!$H$40</f>
        <v>43.26</v>
      </c>
      <c r="I955" s="77">
        <f>'FM-2'!W30</f>
        <v>19</v>
      </c>
    </row>
    <row r="956" spans="1:9" ht="15" customHeight="1" thickBot="1" x14ac:dyDescent="0.35">
      <c r="A956" s="119" t="str">
        <f>'Marks Input'!$I$2</f>
        <v>Islamiyat</v>
      </c>
      <c r="B956" s="109">
        <f>'Marks Input'!$I$3</f>
        <v>100</v>
      </c>
      <c r="C956" s="102">
        <f>'FM-2'!M30</f>
        <v>28</v>
      </c>
      <c r="D956" s="110">
        <f t="shared" ref="D956:D961" si="81">C956/B956</f>
        <v>0.28000000000000003</v>
      </c>
      <c r="E956" s="79" t="str">
        <f t="shared" si="80"/>
        <v>F</v>
      </c>
      <c r="F956" s="103">
        <f>MAX('Marks Input'!$I$4:$I$37)</f>
        <v>88</v>
      </c>
      <c r="G956" s="104">
        <f>MIN('Marks Input'!$I$4:$I$37)</f>
        <v>34</v>
      </c>
      <c r="H956" s="111">
        <f>'Marks Input'!$I$40</f>
        <v>48.29</v>
      </c>
      <c r="I956" s="77">
        <f>'FM-2'!X30</f>
        <v>28</v>
      </c>
    </row>
    <row r="957" spans="1:9" ht="15" customHeight="1" thickBot="1" x14ac:dyDescent="0.35">
      <c r="A957" s="119" t="str">
        <f>'Marks Input'!$J$2</f>
        <v>Pak Studies</v>
      </c>
      <c r="B957" s="109">
        <f>'Marks Input'!$J$3</f>
        <v>100</v>
      </c>
      <c r="C957" s="102">
        <f>'FM-2'!N30</f>
        <v>90</v>
      </c>
      <c r="D957" s="110">
        <f t="shared" si="81"/>
        <v>0.9</v>
      </c>
      <c r="E957" s="79" t="str">
        <f t="shared" si="80"/>
        <v>A+</v>
      </c>
      <c r="F957" s="103">
        <f>MAX('Marks Input'!$J$4:$J$37)</f>
        <v>96</v>
      </c>
      <c r="G957" s="104">
        <f>MIN('Marks Input'!$J$4:$J$37)</f>
        <v>34</v>
      </c>
      <c r="H957" s="111">
        <f>'Marks Input'!$J$40</f>
        <v>71.03</v>
      </c>
      <c r="I957" s="77">
        <f>'FM-2'!Y30</f>
        <v>2</v>
      </c>
    </row>
    <row r="958" spans="1:9" ht="15" customHeight="1" thickBot="1" x14ac:dyDescent="0.35">
      <c r="A958" s="119" t="str">
        <f>'Marks Input'!$K$2</f>
        <v>Maths</v>
      </c>
      <c r="B958" s="109">
        <f>'Marks Input'!$K$3</f>
        <v>100</v>
      </c>
      <c r="C958" s="102">
        <f>'FM-2'!O30</f>
        <v>60</v>
      </c>
      <c r="D958" s="110">
        <f t="shared" si="81"/>
        <v>0.6</v>
      </c>
      <c r="E958" s="79" t="str">
        <f t="shared" si="80"/>
        <v>C</v>
      </c>
      <c r="F958" s="103">
        <f>MAX('Marks Input'!$K$4:$K$37)</f>
        <v>94</v>
      </c>
      <c r="G958" s="104">
        <f>MIN('Marks Input'!$K$4:$K$37)</f>
        <v>57</v>
      </c>
      <c r="H958" s="111">
        <f>'Marks Input'!$K$40</f>
        <v>75.819999999999993</v>
      </c>
      <c r="I958" s="77">
        <f>'FM-2'!Z30</f>
        <v>4</v>
      </c>
    </row>
    <row r="959" spans="1:9" ht="15" customHeight="1" thickBot="1" x14ac:dyDescent="0.35">
      <c r="A959" s="119" t="str">
        <f>'Marks Input'!$L$2</f>
        <v>Sci./ Che.</v>
      </c>
      <c r="B959" s="109">
        <f>'Marks Input'!$L$3</f>
        <v>100</v>
      </c>
      <c r="C959" s="102">
        <f>'FM-2'!P30</f>
        <v>60</v>
      </c>
      <c r="D959" s="110">
        <f t="shared" si="81"/>
        <v>0.6</v>
      </c>
      <c r="E959" s="79" t="str">
        <f t="shared" si="80"/>
        <v>C</v>
      </c>
      <c r="F959" s="103">
        <f>MAX('Marks Input'!$L$4:$L$37)</f>
        <v>98</v>
      </c>
      <c r="G959" s="104">
        <f>MIN('Marks Input'!$L$4:$L$37)</f>
        <v>40</v>
      </c>
      <c r="H959" s="111">
        <f>'Marks Input'!$L$40</f>
        <v>61.09</v>
      </c>
      <c r="I959" s="77">
        <f>'FM-2'!AA30</f>
        <v>23</v>
      </c>
    </row>
    <row r="960" spans="1:9" ht="15" customHeight="1" thickBot="1" x14ac:dyDescent="0.35">
      <c r="A960" s="119" t="str">
        <f>'Marks Input'!$M$2</f>
        <v>Nazra</v>
      </c>
      <c r="B960" s="109">
        <f>'Marks Input'!$M$3</f>
        <v>100</v>
      </c>
      <c r="C960" s="102">
        <f>'FM-2'!Q30</f>
        <v>46</v>
      </c>
      <c r="D960" s="110">
        <f t="shared" si="81"/>
        <v>0.46</v>
      </c>
      <c r="E960" s="79" t="str">
        <f t="shared" si="80"/>
        <v>E</v>
      </c>
      <c r="F960" s="103">
        <f>MAX('Marks Input'!$M$4:$M$37)</f>
        <v>94</v>
      </c>
      <c r="G960" s="104">
        <f>MIN('Marks Input'!$M$4:$M$37)</f>
        <v>32</v>
      </c>
      <c r="H960" s="111">
        <f>'Marks Input'!$M$40</f>
        <v>57.79</v>
      </c>
      <c r="I960" s="77">
        <f>'FM-2'!AB30</f>
        <v>25</v>
      </c>
    </row>
    <row r="961" spans="1:9" ht="15" customHeight="1" thickBot="1" x14ac:dyDescent="0.35">
      <c r="A961" s="119" t="str">
        <f>'Marks Input'!$N$2</f>
        <v>Physics</v>
      </c>
      <c r="B961" s="109">
        <f>'Marks Input'!$N$3</f>
        <v>100</v>
      </c>
      <c r="C961" s="102">
        <f>'FM-2'!R30</f>
        <v>75</v>
      </c>
      <c r="D961" s="110">
        <f t="shared" si="81"/>
        <v>0.75</v>
      </c>
      <c r="E961" s="79" t="str">
        <f t="shared" si="80"/>
        <v>B</v>
      </c>
      <c r="F961" s="103">
        <f>MAX('Marks Input'!$N$4:$N$37)</f>
        <v>60</v>
      </c>
      <c r="G961" s="104">
        <f>MIN('Marks Input'!$N$4:$N$37)</f>
        <v>18</v>
      </c>
      <c r="H961" s="111">
        <f>'Marks Input'!$N$40</f>
        <v>42.94</v>
      </c>
      <c r="I961" s="77">
        <f>'FM-2'!AC30</f>
        <v>16</v>
      </c>
    </row>
    <row r="962" spans="1:9" ht="15" customHeight="1" thickBot="1" x14ac:dyDescent="0.35">
      <c r="A962" s="120" t="str">
        <f>'Marks Input'!$O$2</f>
        <v>Bio./Comp.</v>
      </c>
      <c r="B962" s="112">
        <f>'Marks Input'!$O$3</f>
        <v>100</v>
      </c>
      <c r="C962" s="113">
        <f>'FM-2'!S30</f>
        <v>46</v>
      </c>
      <c r="D962" s="114">
        <f>C962/B962</f>
        <v>0.46</v>
      </c>
      <c r="E962" s="80" t="str">
        <f t="shared" si="80"/>
        <v>E</v>
      </c>
      <c r="F962" s="115">
        <f>MAX('Marks Input'!$O$4:$O$37)</f>
        <v>40</v>
      </c>
      <c r="G962" s="116">
        <f>MIN('Marks Input'!$O$4:$O$37)</f>
        <v>14</v>
      </c>
      <c r="H962" s="117">
        <f>'Marks Input'!$O$40</f>
        <v>30.44</v>
      </c>
      <c r="I962" s="78">
        <f>'FM-2'!AD30</f>
        <v>25</v>
      </c>
    </row>
    <row r="963" spans="1:9" ht="21" customHeight="1" thickBot="1" x14ac:dyDescent="0.45">
      <c r="A963" s="69" t="s">
        <v>14</v>
      </c>
      <c r="B963" s="70">
        <f>'Marks Input'!$P$3</f>
        <v>900</v>
      </c>
      <c r="C963" s="71">
        <f>'FM-2'!U30</f>
        <v>490</v>
      </c>
      <c r="D963" s="72">
        <f t="shared" ref="D963" si="82">C963/B963</f>
        <v>0.5444444444444444</v>
      </c>
      <c r="E963" s="73" t="str">
        <f t="shared" si="80"/>
        <v>D</v>
      </c>
      <c r="F963" s="70">
        <f>MAX('Marks Input'!$P$4:$P$37)</f>
        <v>673</v>
      </c>
      <c r="G963" s="71">
        <f>MIN('Marks Input'!$P$4:$P$37)</f>
        <v>322</v>
      </c>
      <c r="H963" s="74">
        <f>'Marks Input'!$P$40</f>
        <v>493.26</v>
      </c>
      <c r="I963" s="75">
        <f>'FM-2'!AF30</f>
        <v>20</v>
      </c>
    </row>
    <row r="964" spans="1:9" ht="21" customHeight="1" thickBot="1" x14ac:dyDescent="0.35">
      <c r="A964" s="196" t="s">
        <v>15</v>
      </c>
      <c r="B964" s="197"/>
      <c r="C964" s="197"/>
      <c r="H964" s="82"/>
      <c r="I964" s="83"/>
    </row>
    <row r="965" spans="1:9" ht="35.1" customHeight="1" x14ac:dyDescent="0.3">
      <c r="A965" s="198" t="str">
        <f>IF(D963&gt;0.399,"Promoted Successfully","Not Promoted")</f>
        <v>Promoted Successfully</v>
      </c>
      <c r="B965" s="199"/>
      <c r="C965" s="199"/>
      <c r="D965" s="199"/>
      <c r="E965" s="199"/>
      <c r="F965" s="199"/>
      <c r="G965" s="199"/>
      <c r="H965" s="199"/>
      <c r="I965" s="200"/>
    </row>
    <row r="966" spans="1:9" ht="35.1" customHeight="1" thickBot="1" x14ac:dyDescent="0.35">
      <c r="A966" s="201"/>
      <c r="B966" s="202"/>
      <c r="C966" s="202"/>
      <c r="D966" s="202"/>
      <c r="E966" s="202"/>
      <c r="F966" s="202"/>
      <c r="G966" s="202"/>
      <c r="H966" s="202"/>
      <c r="I966" s="203"/>
    </row>
    <row r="967" spans="1:9" ht="30" customHeight="1" x14ac:dyDescent="0.3">
      <c r="A967" s="84"/>
      <c r="B967" s="85"/>
      <c r="C967" s="85"/>
      <c r="D967" s="121" t="s">
        <v>140</v>
      </c>
      <c r="E967" s="86"/>
      <c r="F967" s="86"/>
      <c r="G967" s="204"/>
      <c r="H967" s="204"/>
      <c r="I967" s="205"/>
    </row>
    <row r="968" spans="1:9" ht="30" customHeight="1" x14ac:dyDescent="0.3">
      <c r="A968" s="84"/>
      <c r="D968" s="121" t="s">
        <v>16</v>
      </c>
      <c r="E968" s="86"/>
      <c r="F968" s="86"/>
      <c r="G968" s="206"/>
      <c r="H968" s="206"/>
      <c r="I968" s="207"/>
    </row>
    <row r="969" spans="1:9" ht="15" customHeight="1" x14ac:dyDescent="0.3">
      <c r="A969" s="84"/>
      <c r="F969" s="208" t="str">
        <f>A946</f>
        <v>APS Hazro</v>
      </c>
      <c r="G969" s="208"/>
      <c r="H969" s="208"/>
      <c r="I969" s="209"/>
    </row>
    <row r="970" spans="1:9" ht="15" customHeight="1" thickBot="1" x14ac:dyDescent="0.35">
      <c r="A970" s="210"/>
      <c r="B970" s="211"/>
      <c r="C970" s="211"/>
      <c r="D970" s="211"/>
      <c r="E970" s="211"/>
      <c r="F970" s="211"/>
      <c r="G970" s="211"/>
      <c r="H970" s="211"/>
      <c r="I970" s="212"/>
    </row>
    <row r="971" spans="1:9" ht="15" customHeight="1" x14ac:dyDescent="0.3">
      <c r="A971" s="213"/>
      <c r="B971" s="214"/>
      <c r="C971" s="214"/>
      <c r="D971" s="214"/>
      <c r="E971" s="214"/>
      <c r="F971" s="214"/>
      <c r="G971" s="214"/>
      <c r="H971" s="214"/>
      <c r="I971" s="215"/>
    </row>
    <row r="972" spans="1:9" ht="21" customHeight="1" x14ac:dyDescent="0.35">
      <c r="A972" s="87" t="s">
        <v>17</v>
      </c>
      <c r="B972" s="105">
        <f>H950</f>
        <v>28</v>
      </c>
      <c r="C972" s="88"/>
      <c r="D972" s="89" t="s">
        <v>3</v>
      </c>
      <c r="E972" s="89" t="str">
        <f>E950</f>
        <v>7TH</v>
      </c>
      <c r="F972" s="90" t="s">
        <v>18</v>
      </c>
      <c r="G972" s="216" t="str">
        <f>E963</f>
        <v>D</v>
      </c>
      <c r="H972" s="216"/>
      <c r="I972" s="217"/>
    </row>
    <row r="973" spans="1:9" ht="30" customHeight="1" x14ac:dyDescent="0.3">
      <c r="A973" s="176" t="s">
        <v>210</v>
      </c>
      <c r="B973" s="177"/>
      <c r="C973" s="218"/>
      <c r="D973" s="218"/>
      <c r="E973" s="187" t="s">
        <v>19</v>
      </c>
      <c r="F973" s="187"/>
      <c r="G973" s="219">
        <f>'FM-2'!G30</f>
        <v>3005327814</v>
      </c>
      <c r="H973" s="219"/>
      <c r="I973" s="220"/>
    </row>
    <row r="974" spans="1:9" ht="30" customHeight="1" x14ac:dyDescent="0.3">
      <c r="A974" s="176" t="s">
        <v>20</v>
      </c>
      <c r="B974" s="177"/>
      <c r="C974" s="178"/>
      <c r="D974" s="178"/>
      <c r="E974" s="178"/>
      <c r="F974" s="178"/>
      <c r="G974" s="178"/>
      <c r="H974" s="178"/>
      <c r="I974" s="179"/>
    </row>
    <row r="975" spans="1:9" ht="30" customHeight="1" x14ac:dyDescent="0.3">
      <c r="A975" s="180"/>
      <c r="B975" s="181"/>
      <c r="C975" s="181"/>
      <c r="D975" s="181"/>
      <c r="E975" s="181"/>
      <c r="F975" s="181"/>
      <c r="G975" s="181"/>
      <c r="H975" s="181"/>
      <c r="I975" s="182"/>
    </row>
    <row r="976" spans="1:9" ht="21" customHeight="1" x14ac:dyDescent="0.3">
      <c r="A976" s="183"/>
      <c r="B976" s="184"/>
      <c r="C976" s="184"/>
      <c r="D976" s="184"/>
      <c r="E976" s="184"/>
      <c r="F976" s="184"/>
      <c r="G976" s="184"/>
      <c r="H976" s="184"/>
      <c r="I976" s="185"/>
    </row>
    <row r="977" spans="1:9" ht="21" customHeight="1" x14ac:dyDescent="0.3">
      <c r="A977" s="91" t="s">
        <v>207</v>
      </c>
      <c r="B977" s="186">
        <f ca="1">TODAY()</f>
        <v>46315</v>
      </c>
      <c r="C977" s="186"/>
      <c r="D977" s="187" t="s">
        <v>141</v>
      </c>
      <c r="E977" s="187"/>
      <c r="F977" s="187"/>
      <c r="G977" s="188"/>
      <c r="H977" s="188"/>
      <c r="I977" s="189"/>
    </row>
    <row r="978" spans="1:9" ht="21" customHeight="1" x14ac:dyDescent="0.3">
      <c r="A978" s="190" t="s">
        <v>211</v>
      </c>
      <c r="B978" s="191"/>
      <c r="C978" s="191"/>
      <c r="D978" s="191"/>
      <c r="E978" s="191"/>
      <c r="F978" s="191"/>
      <c r="G978" s="191"/>
      <c r="H978" s="191"/>
      <c r="I978" s="192"/>
    </row>
    <row r="979" spans="1:9" ht="15" customHeight="1" x14ac:dyDescent="0.3">
      <c r="A979" s="190"/>
      <c r="B979" s="191"/>
      <c r="C979" s="191"/>
      <c r="D979" s="191"/>
      <c r="E979" s="191"/>
      <c r="F979" s="191"/>
      <c r="G979" s="191"/>
      <c r="H979" s="191"/>
      <c r="I979" s="192"/>
    </row>
    <row r="980" spans="1:9" ht="15" thickBot="1" x14ac:dyDescent="0.35">
      <c r="A980" s="193"/>
      <c r="B980" s="194"/>
      <c r="C980" s="194"/>
      <c r="D980" s="194"/>
      <c r="E980" s="194"/>
      <c r="F980" s="194"/>
      <c r="G980" s="194"/>
      <c r="H980" s="194"/>
      <c r="I980" s="195"/>
    </row>
    <row r="981" spans="1:9" ht="41.1" customHeight="1" thickBot="1" x14ac:dyDescent="0.35">
      <c r="A981" s="240" t="str">
        <f>'FM-2'!$I$3</f>
        <v>APS Hazro</v>
      </c>
      <c r="B981" s="241"/>
      <c r="C981" s="241"/>
      <c r="D981" s="241"/>
      <c r="E981" s="241"/>
      <c r="F981" s="241"/>
      <c r="G981" s="241"/>
      <c r="H981" s="241"/>
      <c r="I981" s="242"/>
    </row>
    <row r="982" spans="1:9" ht="21" customHeight="1" thickBot="1" x14ac:dyDescent="0.4">
      <c r="A982" s="129" t="str">
        <f>'FM-2'!$J$3</f>
        <v>ANNUAL EXAM 2024</v>
      </c>
      <c r="B982" s="67"/>
      <c r="C982" s="67"/>
      <c r="D982" s="67"/>
      <c r="E982" s="67"/>
      <c r="F982" s="67"/>
      <c r="G982" s="67"/>
      <c r="H982" s="67"/>
      <c r="I982" s="68"/>
    </row>
    <row r="983" spans="1:9" ht="21" customHeight="1" x14ac:dyDescent="0.35">
      <c r="A983" s="122"/>
      <c r="B983" s="123"/>
      <c r="C983" s="123"/>
      <c r="D983" s="123"/>
      <c r="E983" s="123"/>
      <c r="F983" s="123"/>
      <c r="G983" s="123"/>
      <c r="H983" s="123"/>
      <c r="I983" s="124"/>
    </row>
    <row r="984" spans="1:9" ht="21" customHeight="1" x14ac:dyDescent="0.3">
      <c r="A984" s="221" t="s">
        <v>0</v>
      </c>
      <c r="B984" s="222"/>
      <c r="C984" s="98" t="str">
        <f>'FM-2'!E31</f>
        <v>Ali29</v>
      </c>
      <c r="D984" s="98"/>
      <c r="E984" s="98"/>
      <c r="F984" s="222" t="s">
        <v>1</v>
      </c>
      <c r="G984" s="222"/>
      <c r="H984" s="223" t="str">
        <f>'FM-2'!F31</f>
        <v>Khan 29</v>
      </c>
      <c r="I984" s="224"/>
    </row>
    <row r="985" spans="1:9" ht="21" customHeight="1" x14ac:dyDescent="0.3">
      <c r="A985" s="221" t="s">
        <v>2</v>
      </c>
      <c r="B985" s="222"/>
      <c r="C985" s="92">
        <f>'FM-2'!C31</f>
        <v>1028</v>
      </c>
      <c r="D985" s="93" t="s">
        <v>3</v>
      </c>
      <c r="E985" s="92" t="str">
        <f>'FM-2'!$B$3</f>
        <v>7TH</v>
      </c>
      <c r="F985" s="222" t="s">
        <v>4</v>
      </c>
      <c r="G985" s="222"/>
      <c r="H985" s="225">
        <f>'FM-2'!D31</f>
        <v>29</v>
      </c>
      <c r="I985" s="226"/>
    </row>
    <row r="986" spans="1:9" ht="21" customHeight="1" thickBot="1" x14ac:dyDescent="0.35">
      <c r="A986" s="227" t="s">
        <v>206</v>
      </c>
      <c r="B986" s="228"/>
      <c r="C986" s="94">
        <f>COUNTIF('Marks Input'!$B$4:$B$63,"&gt;0")</f>
        <v>34</v>
      </c>
      <c r="D986" s="93"/>
      <c r="E986" s="95"/>
      <c r="F986" s="93"/>
      <c r="G986" s="93"/>
      <c r="H986" s="96"/>
      <c r="I986" s="97"/>
    </row>
    <row r="987" spans="1:9" ht="15.75" customHeight="1" thickBot="1" x14ac:dyDescent="0.35">
      <c r="A987" s="229" t="s">
        <v>5</v>
      </c>
      <c r="B987" s="231" t="s">
        <v>6</v>
      </c>
      <c r="C987" s="233" t="s">
        <v>7</v>
      </c>
      <c r="D987" s="235" t="s">
        <v>209</v>
      </c>
      <c r="E987" s="229" t="s">
        <v>8</v>
      </c>
      <c r="F987" s="237" t="s">
        <v>9</v>
      </c>
      <c r="G987" s="238"/>
      <c r="H987" s="238"/>
      <c r="I987" s="239"/>
    </row>
    <row r="988" spans="1:9" ht="30" customHeight="1" thickBot="1" x14ac:dyDescent="0.35">
      <c r="A988" s="230"/>
      <c r="B988" s="232"/>
      <c r="C988" s="234"/>
      <c r="D988" s="236"/>
      <c r="E988" s="230"/>
      <c r="F988" s="125" t="s">
        <v>10</v>
      </c>
      <c r="G988" s="126" t="s">
        <v>11</v>
      </c>
      <c r="H988" s="127" t="s">
        <v>12</v>
      </c>
      <c r="I988" s="128" t="s">
        <v>208</v>
      </c>
    </row>
    <row r="989" spans="1:9" ht="15" customHeight="1" thickBot="1" x14ac:dyDescent="0.35">
      <c r="A989" s="118" t="str">
        <f>'Marks Input'!$G$2</f>
        <v>Urdu</v>
      </c>
      <c r="B989" s="106">
        <f>'Marks Input'!$G$3</f>
        <v>100</v>
      </c>
      <c r="C989" s="99">
        <f>'FM-2'!K31</f>
        <v>69</v>
      </c>
      <c r="D989" s="107">
        <f>C989/B989</f>
        <v>0.69</v>
      </c>
      <c r="E989" s="79" t="str">
        <f>IF(D989&gt;0.899,"A+",IF(D989&gt;0.799,"A",IF(D989&gt;0.699,"B",IF(D989&gt;0.599,"C",IF(D989&gt;0.499,"D",IF(D989&gt;0.399,"E","F"))))))</f>
        <v>C</v>
      </c>
      <c r="F989" s="100">
        <f>MAX('Marks Input'!$G$4:$G$37)</f>
        <v>72</v>
      </c>
      <c r="G989" s="101">
        <f>MIN('Marks Input'!$G$4:$G$37)</f>
        <v>40</v>
      </c>
      <c r="H989" s="108">
        <f>'Marks Input'!$G$40</f>
        <v>62.59</v>
      </c>
      <c r="I989" s="76">
        <f>'FM-2'!V31</f>
        <v>6</v>
      </c>
    </row>
    <row r="990" spans="1:9" ht="15" customHeight="1" thickBot="1" x14ac:dyDescent="0.35">
      <c r="A990" s="119" t="str">
        <f>'Marks Input'!$H$2</f>
        <v>English</v>
      </c>
      <c r="B990" s="109">
        <f>'Marks Input'!$H$3</f>
        <v>100</v>
      </c>
      <c r="C990" s="102">
        <f>'FM-2'!L31</f>
        <v>61</v>
      </c>
      <c r="D990" s="110">
        <f>C990/B990</f>
        <v>0.61</v>
      </c>
      <c r="E990" s="79" t="str">
        <f t="shared" ref="E990:E998" si="83">IF(D990&gt;0.899,"A+",IF(D990&gt;0.799,"A",IF(D990&gt;0.699,"B",IF(D990&gt;0.599,"C",IF(D990&gt;0.499,"D",IF(D990&gt;0.399,"E","F"))))))</f>
        <v>C</v>
      </c>
      <c r="F990" s="103">
        <f>MAX('Marks Input'!$H$4:$H$37)</f>
        <v>74</v>
      </c>
      <c r="G990" s="104">
        <f>MIN('Marks Input'!$H$4:$H$37)</f>
        <v>30</v>
      </c>
      <c r="H990" s="111">
        <f>'Marks Input'!$H$40</f>
        <v>43.26</v>
      </c>
      <c r="I990" s="77">
        <f>'FM-2'!W31</f>
        <v>6</v>
      </c>
    </row>
    <row r="991" spans="1:9" ht="15" customHeight="1" thickBot="1" x14ac:dyDescent="0.35">
      <c r="A991" s="119" t="str">
        <f>'Marks Input'!$I$2</f>
        <v>Islamiyat</v>
      </c>
      <c r="B991" s="109">
        <f>'Marks Input'!$I$3</f>
        <v>100</v>
      </c>
      <c r="C991" s="102">
        <f>'FM-2'!M31</f>
        <v>45</v>
      </c>
      <c r="D991" s="110">
        <f t="shared" ref="D991:D996" si="84">C991/B991</f>
        <v>0.45</v>
      </c>
      <c r="E991" s="79" t="str">
        <f t="shared" si="83"/>
        <v>E</v>
      </c>
      <c r="F991" s="103">
        <f>MAX('Marks Input'!$I$4:$I$37)</f>
        <v>88</v>
      </c>
      <c r="G991" s="104">
        <f>MIN('Marks Input'!$I$4:$I$37)</f>
        <v>34</v>
      </c>
      <c r="H991" s="111">
        <f>'Marks Input'!$I$40</f>
        <v>48.29</v>
      </c>
      <c r="I991" s="77">
        <f>'FM-2'!X31</f>
        <v>17</v>
      </c>
    </row>
    <row r="992" spans="1:9" ht="15" customHeight="1" thickBot="1" x14ac:dyDescent="0.35">
      <c r="A992" s="119" t="str">
        <f>'Marks Input'!$J$2</f>
        <v>Pak Studies</v>
      </c>
      <c r="B992" s="109">
        <f>'Marks Input'!$J$3</f>
        <v>100</v>
      </c>
      <c r="C992" s="102">
        <f>'FM-2'!N31</f>
        <v>52</v>
      </c>
      <c r="D992" s="110">
        <f t="shared" si="84"/>
        <v>0.52</v>
      </c>
      <c r="E992" s="79" t="str">
        <f t="shared" si="83"/>
        <v>D</v>
      </c>
      <c r="F992" s="103">
        <f>MAX('Marks Input'!$J$4:$J$37)</f>
        <v>96</v>
      </c>
      <c r="G992" s="104">
        <f>MIN('Marks Input'!$J$4:$J$37)</f>
        <v>34</v>
      </c>
      <c r="H992" s="111">
        <f>'Marks Input'!$J$40</f>
        <v>71.03</v>
      </c>
      <c r="I992" s="77">
        <f>'FM-2'!Y31</f>
        <v>23</v>
      </c>
    </row>
    <row r="993" spans="1:9" ht="15" customHeight="1" thickBot="1" x14ac:dyDescent="0.35">
      <c r="A993" s="119" t="str">
        <f>'Marks Input'!$K$2</f>
        <v>Maths</v>
      </c>
      <c r="B993" s="109">
        <f>'Marks Input'!$K$3</f>
        <v>100</v>
      </c>
      <c r="C993" s="102">
        <f>'FM-2'!O31</f>
        <v>50</v>
      </c>
      <c r="D993" s="110">
        <f t="shared" si="84"/>
        <v>0.5</v>
      </c>
      <c r="E993" s="79" t="str">
        <f t="shared" si="83"/>
        <v>D</v>
      </c>
      <c r="F993" s="103">
        <f>MAX('Marks Input'!$K$4:$K$37)</f>
        <v>94</v>
      </c>
      <c r="G993" s="104">
        <f>MIN('Marks Input'!$K$4:$K$37)</f>
        <v>57</v>
      </c>
      <c r="H993" s="111">
        <f>'Marks Input'!$K$40</f>
        <v>75.819999999999993</v>
      </c>
      <c r="I993" s="77">
        <f>'FM-2'!Z31</f>
        <v>12</v>
      </c>
    </row>
    <row r="994" spans="1:9" ht="15" customHeight="1" thickBot="1" x14ac:dyDescent="0.35">
      <c r="A994" s="119" t="str">
        <f>'Marks Input'!$L$2</f>
        <v>Sci./ Che.</v>
      </c>
      <c r="B994" s="109">
        <f>'Marks Input'!$L$3</f>
        <v>100</v>
      </c>
      <c r="C994" s="102">
        <f>'FM-2'!P31</f>
        <v>84</v>
      </c>
      <c r="D994" s="110">
        <f t="shared" si="84"/>
        <v>0.84</v>
      </c>
      <c r="E994" s="79" t="str">
        <f t="shared" si="83"/>
        <v>A</v>
      </c>
      <c r="F994" s="103">
        <f>MAX('Marks Input'!$L$4:$L$37)</f>
        <v>98</v>
      </c>
      <c r="G994" s="104">
        <f>MIN('Marks Input'!$L$4:$L$37)</f>
        <v>40</v>
      </c>
      <c r="H994" s="111">
        <f>'Marks Input'!$L$40</f>
        <v>61.09</v>
      </c>
      <c r="I994" s="77">
        <f>'FM-2'!AA31</f>
        <v>12</v>
      </c>
    </row>
    <row r="995" spans="1:9" ht="15" customHeight="1" thickBot="1" x14ac:dyDescent="0.35">
      <c r="A995" s="119" t="str">
        <f>'Marks Input'!$M$2</f>
        <v>Nazra</v>
      </c>
      <c r="B995" s="109">
        <f>'Marks Input'!$M$3</f>
        <v>100</v>
      </c>
      <c r="C995" s="102">
        <f>'FM-2'!Q31</f>
        <v>41</v>
      </c>
      <c r="D995" s="110">
        <f t="shared" si="84"/>
        <v>0.41</v>
      </c>
      <c r="E995" s="79" t="str">
        <f t="shared" si="83"/>
        <v>E</v>
      </c>
      <c r="F995" s="103">
        <f>MAX('Marks Input'!$M$4:$M$37)</f>
        <v>94</v>
      </c>
      <c r="G995" s="104">
        <f>MIN('Marks Input'!$M$4:$M$37)</f>
        <v>32</v>
      </c>
      <c r="H995" s="111">
        <f>'Marks Input'!$M$40</f>
        <v>57.79</v>
      </c>
      <c r="I995" s="77">
        <f>'FM-2'!AB31</f>
        <v>30</v>
      </c>
    </row>
    <row r="996" spans="1:9" ht="15" customHeight="1" thickBot="1" x14ac:dyDescent="0.35">
      <c r="A996" s="119" t="str">
        <f>'Marks Input'!$N$2</f>
        <v>Physics</v>
      </c>
      <c r="B996" s="109">
        <f>'Marks Input'!$N$3</f>
        <v>100</v>
      </c>
      <c r="C996" s="102">
        <f>'FM-2'!R31</f>
        <v>75</v>
      </c>
      <c r="D996" s="110">
        <f t="shared" si="84"/>
        <v>0.75</v>
      </c>
      <c r="E996" s="79" t="str">
        <f t="shared" si="83"/>
        <v>B</v>
      </c>
      <c r="F996" s="103">
        <f>MAX('Marks Input'!$N$4:$N$37)</f>
        <v>60</v>
      </c>
      <c r="G996" s="104">
        <f>MIN('Marks Input'!$N$4:$N$37)</f>
        <v>18</v>
      </c>
      <c r="H996" s="111">
        <f>'Marks Input'!$N$40</f>
        <v>42.94</v>
      </c>
      <c r="I996" s="77">
        <f>'FM-2'!AC31</f>
        <v>16</v>
      </c>
    </row>
    <row r="997" spans="1:9" ht="15" customHeight="1" thickBot="1" x14ac:dyDescent="0.35">
      <c r="A997" s="120" t="str">
        <f>'Marks Input'!$O$2</f>
        <v>Bio./Comp.</v>
      </c>
      <c r="B997" s="112">
        <f>'Marks Input'!$O$3</f>
        <v>100</v>
      </c>
      <c r="C997" s="113">
        <f>'FM-2'!S31</f>
        <v>41</v>
      </c>
      <c r="D997" s="114">
        <f>C997/B997</f>
        <v>0.41</v>
      </c>
      <c r="E997" s="80" t="str">
        <f t="shared" si="83"/>
        <v>E</v>
      </c>
      <c r="F997" s="115">
        <f>MAX('Marks Input'!$O$4:$O$37)</f>
        <v>40</v>
      </c>
      <c r="G997" s="116">
        <f>MIN('Marks Input'!$O$4:$O$37)</f>
        <v>14</v>
      </c>
      <c r="H997" s="117">
        <f>'Marks Input'!$O$40</f>
        <v>30.44</v>
      </c>
      <c r="I997" s="78">
        <f>'FM-2'!AD31</f>
        <v>30</v>
      </c>
    </row>
    <row r="998" spans="1:9" ht="21" customHeight="1" thickBot="1" x14ac:dyDescent="0.45">
      <c r="A998" s="69" t="s">
        <v>14</v>
      </c>
      <c r="B998" s="70">
        <f>'Marks Input'!$P$3</f>
        <v>900</v>
      </c>
      <c r="C998" s="71">
        <f>'FM-2'!U31</f>
        <v>505</v>
      </c>
      <c r="D998" s="72">
        <f t="shared" ref="D998" si="85">C998/B998</f>
        <v>0.56111111111111112</v>
      </c>
      <c r="E998" s="73" t="str">
        <f t="shared" si="83"/>
        <v>D</v>
      </c>
      <c r="F998" s="70">
        <f>MAX('Marks Input'!$P$4:$P$37)</f>
        <v>673</v>
      </c>
      <c r="G998" s="71">
        <f>MIN('Marks Input'!$P$4:$P$37)</f>
        <v>322</v>
      </c>
      <c r="H998" s="74">
        <f>'Marks Input'!$P$40</f>
        <v>493.26</v>
      </c>
      <c r="I998" s="75">
        <f>'FM-2'!AF31</f>
        <v>16</v>
      </c>
    </row>
    <row r="999" spans="1:9" ht="21" customHeight="1" thickBot="1" x14ac:dyDescent="0.35">
      <c r="A999" s="196" t="s">
        <v>15</v>
      </c>
      <c r="B999" s="197"/>
      <c r="C999" s="197"/>
      <c r="H999" s="82"/>
      <c r="I999" s="83"/>
    </row>
    <row r="1000" spans="1:9" ht="35.1" customHeight="1" x14ac:dyDescent="0.3">
      <c r="A1000" s="198" t="str">
        <f>IF(D998&gt;0.399,"Promoted Successfully","Not Promoted")</f>
        <v>Promoted Successfully</v>
      </c>
      <c r="B1000" s="199"/>
      <c r="C1000" s="199"/>
      <c r="D1000" s="199"/>
      <c r="E1000" s="199"/>
      <c r="F1000" s="199"/>
      <c r="G1000" s="199"/>
      <c r="H1000" s="199"/>
      <c r="I1000" s="200"/>
    </row>
    <row r="1001" spans="1:9" ht="35.1" customHeight="1" thickBot="1" x14ac:dyDescent="0.35">
      <c r="A1001" s="201"/>
      <c r="B1001" s="202"/>
      <c r="C1001" s="202"/>
      <c r="D1001" s="202"/>
      <c r="E1001" s="202"/>
      <c r="F1001" s="202"/>
      <c r="G1001" s="202"/>
      <c r="H1001" s="202"/>
      <c r="I1001" s="203"/>
    </row>
    <row r="1002" spans="1:9" ht="30" customHeight="1" x14ac:dyDescent="0.3">
      <c r="A1002" s="84"/>
      <c r="B1002" s="85"/>
      <c r="C1002" s="85"/>
      <c r="D1002" s="121" t="s">
        <v>140</v>
      </c>
      <c r="E1002" s="86"/>
      <c r="F1002" s="86"/>
      <c r="G1002" s="204"/>
      <c r="H1002" s="204"/>
      <c r="I1002" s="205"/>
    </row>
    <row r="1003" spans="1:9" ht="30" customHeight="1" x14ac:dyDescent="0.3">
      <c r="A1003" s="84"/>
      <c r="D1003" s="121" t="s">
        <v>16</v>
      </c>
      <c r="E1003" s="86"/>
      <c r="F1003" s="86"/>
      <c r="G1003" s="206"/>
      <c r="H1003" s="206"/>
      <c r="I1003" s="207"/>
    </row>
    <row r="1004" spans="1:9" ht="15" customHeight="1" x14ac:dyDescent="0.3">
      <c r="A1004" s="84"/>
      <c r="F1004" s="208" t="str">
        <f>A981</f>
        <v>APS Hazro</v>
      </c>
      <c r="G1004" s="208"/>
      <c r="H1004" s="208"/>
      <c r="I1004" s="209"/>
    </row>
    <row r="1005" spans="1:9" ht="15" customHeight="1" thickBot="1" x14ac:dyDescent="0.35">
      <c r="A1005" s="210"/>
      <c r="B1005" s="211"/>
      <c r="C1005" s="211"/>
      <c r="D1005" s="211"/>
      <c r="E1005" s="211"/>
      <c r="F1005" s="211"/>
      <c r="G1005" s="211"/>
      <c r="H1005" s="211"/>
      <c r="I1005" s="212"/>
    </row>
    <row r="1006" spans="1:9" ht="15" customHeight="1" x14ac:dyDescent="0.3">
      <c r="A1006" s="213"/>
      <c r="B1006" s="214"/>
      <c r="C1006" s="214"/>
      <c r="D1006" s="214"/>
      <c r="E1006" s="214"/>
      <c r="F1006" s="214"/>
      <c r="G1006" s="214"/>
      <c r="H1006" s="214"/>
      <c r="I1006" s="215"/>
    </row>
    <row r="1007" spans="1:9" ht="21" customHeight="1" x14ac:dyDescent="0.35">
      <c r="A1007" s="87" t="s">
        <v>17</v>
      </c>
      <c r="B1007" s="105">
        <f>H985</f>
        <v>29</v>
      </c>
      <c r="C1007" s="88"/>
      <c r="D1007" s="89" t="s">
        <v>3</v>
      </c>
      <c r="E1007" s="89" t="str">
        <f>E985</f>
        <v>7TH</v>
      </c>
      <c r="F1007" s="90" t="s">
        <v>18</v>
      </c>
      <c r="G1007" s="216" t="str">
        <f>E998</f>
        <v>D</v>
      </c>
      <c r="H1007" s="216"/>
      <c r="I1007" s="217"/>
    </row>
    <row r="1008" spans="1:9" ht="30" customHeight="1" x14ac:dyDescent="0.3">
      <c r="A1008" s="176" t="s">
        <v>210</v>
      </c>
      <c r="B1008" s="177"/>
      <c r="C1008" s="218"/>
      <c r="D1008" s="218"/>
      <c r="E1008" s="187" t="s">
        <v>19</v>
      </c>
      <c r="F1008" s="187"/>
      <c r="G1008" s="219">
        <f>'FM-2'!G31</f>
        <v>3005327855</v>
      </c>
      <c r="H1008" s="219"/>
      <c r="I1008" s="220"/>
    </row>
    <row r="1009" spans="1:9" ht="30" customHeight="1" x14ac:dyDescent="0.3">
      <c r="A1009" s="176" t="s">
        <v>20</v>
      </c>
      <c r="B1009" s="177"/>
      <c r="C1009" s="178"/>
      <c r="D1009" s="178"/>
      <c r="E1009" s="178"/>
      <c r="F1009" s="178"/>
      <c r="G1009" s="178"/>
      <c r="H1009" s="178"/>
      <c r="I1009" s="179"/>
    </row>
    <row r="1010" spans="1:9" ht="30" customHeight="1" x14ac:dyDescent="0.3">
      <c r="A1010" s="180"/>
      <c r="B1010" s="181"/>
      <c r="C1010" s="181"/>
      <c r="D1010" s="181"/>
      <c r="E1010" s="181"/>
      <c r="F1010" s="181"/>
      <c r="G1010" s="181"/>
      <c r="H1010" s="181"/>
      <c r="I1010" s="182"/>
    </row>
    <row r="1011" spans="1:9" ht="21" customHeight="1" x14ac:dyDescent="0.3">
      <c r="A1011" s="183"/>
      <c r="B1011" s="184"/>
      <c r="C1011" s="184"/>
      <c r="D1011" s="184"/>
      <c r="E1011" s="184"/>
      <c r="F1011" s="184"/>
      <c r="G1011" s="184"/>
      <c r="H1011" s="184"/>
      <c r="I1011" s="185"/>
    </row>
    <row r="1012" spans="1:9" ht="21" customHeight="1" x14ac:dyDescent="0.3">
      <c r="A1012" s="91" t="s">
        <v>207</v>
      </c>
      <c r="B1012" s="186">
        <f ca="1">TODAY()</f>
        <v>46315</v>
      </c>
      <c r="C1012" s="186"/>
      <c r="D1012" s="187" t="s">
        <v>141</v>
      </c>
      <c r="E1012" s="187"/>
      <c r="F1012" s="187"/>
      <c r="G1012" s="188"/>
      <c r="H1012" s="188"/>
      <c r="I1012" s="189"/>
    </row>
    <row r="1013" spans="1:9" ht="21" customHeight="1" x14ac:dyDescent="0.3">
      <c r="A1013" s="190" t="s">
        <v>211</v>
      </c>
      <c r="B1013" s="191"/>
      <c r="C1013" s="191"/>
      <c r="D1013" s="191"/>
      <c r="E1013" s="191"/>
      <c r="F1013" s="191"/>
      <c r="G1013" s="191"/>
      <c r="H1013" s="191"/>
      <c r="I1013" s="192"/>
    </row>
    <row r="1014" spans="1:9" ht="15" customHeight="1" x14ac:dyDescent="0.3">
      <c r="A1014" s="190"/>
      <c r="B1014" s="191"/>
      <c r="C1014" s="191"/>
      <c r="D1014" s="191"/>
      <c r="E1014" s="191"/>
      <c r="F1014" s="191"/>
      <c r="G1014" s="191"/>
      <c r="H1014" s="191"/>
      <c r="I1014" s="192"/>
    </row>
    <row r="1015" spans="1:9" ht="15" thickBot="1" x14ac:dyDescent="0.35">
      <c r="A1015" s="193"/>
      <c r="B1015" s="194"/>
      <c r="C1015" s="194"/>
      <c r="D1015" s="194"/>
      <c r="E1015" s="194"/>
      <c r="F1015" s="194"/>
      <c r="G1015" s="194"/>
      <c r="H1015" s="194"/>
      <c r="I1015" s="195"/>
    </row>
    <row r="1016" spans="1:9" ht="41.1" customHeight="1" thickBot="1" x14ac:dyDescent="0.35">
      <c r="A1016" s="240" t="str">
        <f>'FM-2'!$I$3</f>
        <v>APS Hazro</v>
      </c>
      <c r="B1016" s="241"/>
      <c r="C1016" s="241"/>
      <c r="D1016" s="241"/>
      <c r="E1016" s="241"/>
      <c r="F1016" s="241"/>
      <c r="G1016" s="241"/>
      <c r="H1016" s="241"/>
      <c r="I1016" s="242"/>
    </row>
    <row r="1017" spans="1:9" ht="21" customHeight="1" thickBot="1" x14ac:dyDescent="0.4">
      <c r="A1017" s="129" t="str">
        <f>'FM-2'!$J$3</f>
        <v>ANNUAL EXAM 2024</v>
      </c>
      <c r="B1017" s="67"/>
      <c r="C1017" s="67"/>
      <c r="D1017" s="67"/>
      <c r="E1017" s="67"/>
      <c r="F1017" s="67"/>
      <c r="G1017" s="67"/>
      <c r="H1017" s="67"/>
      <c r="I1017" s="68"/>
    </row>
    <row r="1018" spans="1:9" ht="21" customHeight="1" x14ac:dyDescent="0.35">
      <c r="A1018" s="122"/>
      <c r="B1018" s="123"/>
      <c r="C1018" s="123"/>
      <c r="D1018" s="123"/>
      <c r="E1018" s="123"/>
      <c r="F1018" s="123"/>
      <c r="G1018" s="123"/>
      <c r="H1018" s="123"/>
      <c r="I1018" s="124"/>
    </row>
    <row r="1019" spans="1:9" ht="21" customHeight="1" x14ac:dyDescent="0.3">
      <c r="A1019" s="221" t="s">
        <v>0</v>
      </c>
      <c r="B1019" s="222"/>
      <c r="C1019" s="98" t="str">
        <f>'FM-2'!E32</f>
        <v>Ali30</v>
      </c>
      <c r="D1019" s="98"/>
      <c r="E1019" s="98"/>
      <c r="F1019" s="222" t="s">
        <v>1</v>
      </c>
      <c r="G1019" s="222"/>
      <c r="H1019" s="223" t="str">
        <f>'FM-2'!F32</f>
        <v>Khan 30</v>
      </c>
      <c r="I1019" s="224"/>
    </row>
    <row r="1020" spans="1:9" ht="21" customHeight="1" x14ac:dyDescent="0.3">
      <c r="A1020" s="221" t="s">
        <v>2</v>
      </c>
      <c r="B1020" s="222"/>
      <c r="C1020" s="92">
        <f>'FM-2'!C32</f>
        <v>1029</v>
      </c>
      <c r="D1020" s="93" t="s">
        <v>3</v>
      </c>
      <c r="E1020" s="92" t="str">
        <f>'FM-2'!$B$3</f>
        <v>7TH</v>
      </c>
      <c r="F1020" s="222" t="s">
        <v>4</v>
      </c>
      <c r="G1020" s="222"/>
      <c r="H1020" s="225">
        <f>'FM-2'!D32</f>
        <v>30</v>
      </c>
      <c r="I1020" s="226"/>
    </row>
    <row r="1021" spans="1:9" ht="21" customHeight="1" thickBot="1" x14ac:dyDescent="0.35">
      <c r="A1021" s="227" t="s">
        <v>206</v>
      </c>
      <c r="B1021" s="228"/>
      <c r="C1021" s="94">
        <f>COUNTIF('Marks Input'!$B$4:$B$63,"&gt;0")</f>
        <v>34</v>
      </c>
      <c r="D1021" s="93"/>
      <c r="E1021" s="95"/>
      <c r="F1021" s="93"/>
      <c r="G1021" s="93"/>
      <c r="H1021" s="96"/>
      <c r="I1021" s="97"/>
    </row>
    <row r="1022" spans="1:9" ht="15.75" customHeight="1" thickBot="1" x14ac:dyDescent="0.35">
      <c r="A1022" s="229" t="s">
        <v>5</v>
      </c>
      <c r="B1022" s="231" t="s">
        <v>6</v>
      </c>
      <c r="C1022" s="233" t="s">
        <v>7</v>
      </c>
      <c r="D1022" s="235" t="s">
        <v>209</v>
      </c>
      <c r="E1022" s="229" t="s">
        <v>8</v>
      </c>
      <c r="F1022" s="237" t="s">
        <v>9</v>
      </c>
      <c r="G1022" s="238"/>
      <c r="H1022" s="238"/>
      <c r="I1022" s="239"/>
    </row>
    <row r="1023" spans="1:9" ht="30" customHeight="1" thickBot="1" x14ac:dyDescent="0.35">
      <c r="A1023" s="230"/>
      <c r="B1023" s="232"/>
      <c r="C1023" s="234"/>
      <c r="D1023" s="236"/>
      <c r="E1023" s="230"/>
      <c r="F1023" s="125" t="s">
        <v>10</v>
      </c>
      <c r="G1023" s="126" t="s">
        <v>11</v>
      </c>
      <c r="H1023" s="127" t="s">
        <v>12</v>
      </c>
      <c r="I1023" s="128" t="s">
        <v>208</v>
      </c>
    </row>
    <row r="1024" spans="1:9" ht="15" customHeight="1" thickBot="1" x14ac:dyDescent="0.35">
      <c r="A1024" s="118" t="str">
        <f>'Marks Input'!$G$2</f>
        <v>Urdu</v>
      </c>
      <c r="B1024" s="106">
        <f>'Marks Input'!$G$3</f>
        <v>100</v>
      </c>
      <c r="C1024" s="99">
        <f>'FM-2'!K32</f>
        <v>55</v>
      </c>
      <c r="D1024" s="107">
        <f>C1024/B1024</f>
        <v>0.55000000000000004</v>
      </c>
      <c r="E1024" s="79" t="str">
        <f>IF(D1024&gt;0.899,"A+",IF(D1024&gt;0.799,"A",IF(D1024&gt;0.699,"B",IF(D1024&gt;0.599,"C",IF(D1024&gt;0.499,"D",IF(D1024&gt;0.399,"E","F"))))))</f>
        <v>D</v>
      </c>
      <c r="F1024" s="100">
        <f>MAX('Marks Input'!$G$4:$G$37)</f>
        <v>72</v>
      </c>
      <c r="G1024" s="101">
        <f>MIN('Marks Input'!$G$4:$G$37)</f>
        <v>40</v>
      </c>
      <c r="H1024" s="108">
        <f>'Marks Input'!$G$40</f>
        <v>62.59</v>
      </c>
      <c r="I1024" s="76">
        <f>'FM-2'!V32</f>
        <v>27</v>
      </c>
    </row>
    <row r="1025" spans="1:9" ht="15" customHeight="1" thickBot="1" x14ac:dyDescent="0.35">
      <c r="A1025" s="119" t="str">
        <f>'Marks Input'!$H$2</f>
        <v>English</v>
      </c>
      <c r="B1025" s="109">
        <f>'Marks Input'!$H$3</f>
        <v>100</v>
      </c>
      <c r="C1025" s="102">
        <f>'FM-2'!L32</f>
        <v>33</v>
      </c>
      <c r="D1025" s="110">
        <f>C1025/B1025</f>
        <v>0.33</v>
      </c>
      <c r="E1025" s="79" t="str">
        <f t="shared" ref="E1025:E1033" si="86">IF(D1025&gt;0.899,"A+",IF(D1025&gt;0.799,"A",IF(D1025&gt;0.699,"B",IF(D1025&gt;0.599,"C",IF(D1025&gt;0.499,"D",IF(D1025&gt;0.399,"E","F"))))))</f>
        <v>F</v>
      </c>
      <c r="F1025" s="103">
        <f>MAX('Marks Input'!$H$4:$H$37)</f>
        <v>74</v>
      </c>
      <c r="G1025" s="104">
        <f>MIN('Marks Input'!$H$4:$H$37)</f>
        <v>30</v>
      </c>
      <c r="H1025" s="111">
        <f>'Marks Input'!$H$40</f>
        <v>43.26</v>
      </c>
      <c r="I1025" s="77">
        <f>'FM-2'!W32</f>
        <v>19</v>
      </c>
    </row>
    <row r="1026" spans="1:9" ht="15" customHeight="1" thickBot="1" x14ac:dyDescent="0.35">
      <c r="A1026" s="119" t="str">
        <f>'Marks Input'!$I$2</f>
        <v>Islamiyat</v>
      </c>
      <c r="B1026" s="109">
        <f>'Marks Input'!$I$3</f>
        <v>100</v>
      </c>
      <c r="C1026" s="102">
        <f>'FM-2'!M32</f>
        <v>31</v>
      </c>
      <c r="D1026" s="110">
        <f t="shared" ref="D1026:D1031" si="87">C1026/B1026</f>
        <v>0.31</v>
      </c>
      <c r="E1026" s="79" t="str">
        <f t="shared" si="86"/>
        <v>F</v>
      </c>
      <c r="F1026" s="103">
        <f>MAX('Marks Input'!$I$4:$I$37)</f>
        <v>88</v>
      </c>
      <c r="G1026" s="104">
        <f>MIN('Marks Input'!$I$4:$I$37)</f>
        <v>34</v>
      </c>
      <c r="H1026" s="111">
        <f>'Marks Input'!$I$40</f>
        <v>48.29</v>
      </c>
      <c r="I1026" s="77">
        <f>'FM-2'!X32</f>
        <v>26</v>
      </c>
    </row>
    <row r="1027" spans="1:9" ht="15" customHeight="1" thickBot="1" x14ac:dyDescent="0.35">
      <c r="A1027" s="119" t="str">
        <f>'Marks Input'!$J$2</f>
        <v>Pak Studies</v>
      </c>
      <c r="B1027" s="109">
        <f>'Marks Input'!$J$3</f>
        <v>100</v>
      </c>
      <c r="C1027" s="102">
        <f>'FM-2'!N32</f>
        <v>44</v>
      </c>
      <c r="D1027" s="110">
        <f t="shared" si="87"/>
        <v>0.44</v>
      </c>
      <c r="E1027" s="79" t="str">
        <f t="shared" si="86"/>
        <v>E</v>
      </c>
      <c r="F1027" s="103">
        <f>MAX('Marks Input'!$J$4:$J$37)</f>
        <v>96</v>
      </c>
      <c r="G1027" s="104">
        <f>MIN('Marks Input'!$J$4:$J$37)</f>
        <v>34</v>
      </c>
      <c r="H1027" s="111">
        <f>'Marks Input'!$J$40</f>
        <v>71.03</v>
      </c>
      <c r="I1027" s="77">
        <f>'FM-2'!Y32</f>
        <v>28</v>
      </c>
    </row>
    <row r="1028" spans="1:9" ht="15" customHeight="1" thickBot="1" x14ac:dyDescent="0.35">
      <c r="A1028" s="119" t="str">
        <f>'Marks Input'!$K$2</f>
        <v>Maths</v>
      </c>
      <c r="B1028" s="109">
        <f>'Marks Input'!$K$3</f>
        <v>100</v>
      </c>
      <c r="C1028" s="102">
        <f>'FM-2'!O32</f>
        <v>36</v>
      </c>
      <c r="D1028" s="110">
        <f t="shared" si="87"/>
        <v>0.36</v>
      </c>
      <c r="E1028" s="79" t="str">
        <f t="shared" si="86"/>
        <v>F</v>
      </c>
      <c r="F1028" s="103">
        <f>MAX('Marks Input'!$K$4:$K$37)</f>
        <v>94</v>
      </c>
      <c r="G1028" s="104">
        <f>MIN('Marks Input'!$K$4:$K$37)</f>
        <v>57</v>
      </c>
      <c r="H1028" s="111">
        <f>'Marks Input'!$K$40</f>
        <v>75.819999999999993</v>
      </c>
      <c r="I1028" s="77">
        <f>'FM-2'!Z32</f>
        <v>27</v>
      </c>
    </row>
    <row r="1029" spans="1:9" ht="15" customHeight="1" thickBot="1" x14ac:dyDescent="0.35">
      <c r="A1029" s="119" t="str">
        <f>'Marks Input'!$L$2</f>
        <v>Sci./ Che.</v>
      </c>
      <c r="B1029" s="109">
        <f>'Marks Input'!$L$3</f>
        <v>100</v>
      </c>
      <c r="C1029" s="102">
        <f>'FM-2'!P32</f>
        <v>52</v>
      </c>
      <c r="D1029" s="110">
        <f t="shared" si="87"/>
        <v>0.52</v>
      </c>
      <c r="E1029" s="79" t="str">
        <f t="shared" si="86"/>
        <v>D</v>
      </c>
      <c r="F1029" s="103">
        <f>MAX('Marks Input'!$L$4:$L$37)</f>
        <v>98</v>
      </c>
      <c r="G1029" s="104">
        <f>MIN('Marks Input'!$L$4:$L$37)</f>
        <v>40</v>
      </c>
      <c r="H1029" s="111">
        <f>'Marks Input'!$L$40</f>
        <v>61.09</v>
      </c>
      <c r="I1029" s="77">
        <f>'FM-2'!AA32</f>
        <v>26</v>
      </c>
    </row>
    <row r="1030" spans="1:9" ht="15" customHeight="1" thickBot="1" x14ac:dyDescent="0.35">
      <c r="A1030" s="119" t="str">
        <f>'Marks Input'!$M$2</f>
        <v>Nazra</v>
      </c>
      <c r="B1030" s="109">
        <f>'Marks Input'!$M$3</f>
        <v>100</v>
      </c>
      <c r="C1030" s="102">
        <f>'FM-2'!Q32</f>
        <v>54</v>
      </c>
      <c r="D1030" s="110">
        <f t="shared" si="87"/>
        <v>0.54</v>
      </c>
      <c r="E1030" s="79" t="str">
        <f t="shared" si="86"/>
        <v>D</v>
      </c>
      <c r="F1030" s="103">
        <f>MAX('Marks Input'!$M$4:$M$37)</f>
        <v>94</v>
      </c>
      <c r="G1030" s="104">
        <f>MIN('Marks Input'!$M$4:$M$37)</f>
        <v>32</v>
      </c>
      <c r="H1030" s="111">
        <f>'Marks Input'!$M$40</f>
        <v>57.79</v>
      </c>
      <c r="I1030" s="77">
        <f>'FM-2'!AB32</f>
        <v>18</v>
      </c>
    </row>
    <row r="1031" spans="1:9" ht="15" customHeight="1" thickBot="1" x14ac:dyDescent="0.35">
      <c r="A1031" s="119" t="str">
        <f>'Marks Input'!$N$2</f>
        <v>Physics</v>
      </c>
      <c r="B1031" s="109">
        <f>'Marks Input'!$N$3</f>
        <v>100</v>
      </c>
      <c r="C1031" s="102">
        <f>'FM-2'!R32</f>
        <v>69</v>
      </c>
      <c r="D1031" s="110">
        <f t="shared" si="87"/>
        <v>0.69</v>
      </c>
      <c r="E1031" s="79" t="str">
        <f t="shared" si="86"/>
        <v>C</v>
      </c>
      <c r="F1031" s="103">
        <f>MAX('Marks Input'!$N$4:$N$37)</f>
        <v>60</v>
      </c>
      <c r="G1031" s="104">
        <f>MIN('Marks Input'!$N$4:$N$37)</f>
        <v>18</v>
      </c>
      <c r="H1031" s="111">
        <f>'Marks Input'!$N$40</f>
        <v>42.94</v>
      </c>
      <c r="I1031" s="77">
        <f>'FM-2'!AC32</f>
        <v>28</v>
      </c>
    </row>
    <row r="1032" spans="1:9" ht="15" customHeight="1" thickBot="1" x14ac:dyDescent="0.35">
      <c r="A1032" s="120" t="str">
        <f>'Marks Input'!$O$2</f>
        <v>Bio./Comp.</v>
      </c>
      <c r="B1032" s="112">
        <f>'Marks Input'!$O$3</f>
        <v>100</v>
      </c>
      <c r="C1032" s="113">
        <f>'FM-2'!S32</f>
        <v>54</v>
      </c>
      <c r="D1032" s="114">
        <f>C1032/B1032</f>
        <v>0.54</v>
      </c>
      <c r="E1032" s="80" t="str">
        <f t="shared" si="86"/>
        <v>D</v>
      </c>
      <c r="F1032" s="115">
        <f>MAX('Marks Input'!$O$4:$O$37)</f>
        <v>40</v>
      </c>
      <c r="G1032" s="116">
        <f>MIN('Marks Input'!$O$4:$O$37)</f>
        <v>14</v>
      </c>
      <c r="H1032" s="117">
        <f>'Marks Input'!$O$40</f>
        <v>30.44</v>
      </c>
      <c r="I1032" s="78">
        <f>'FM-2'!AD32</f>
        <v>18</v>
      </c>
    </row>
    <row r="1033" spans="1:9" ht="21" customHeight="1" thickBot="1" x14ac:dyDescent="0.45">
      <c r="A1033" s="69" t="s">
        <v>14</v>
      </c>
      <c r="B1033" s="70">
        <f>'Marks Input'!$P$3</f>
        <v>900</v>
      </c>
      <c r="C1033" s="71">
        <f>'FM-2'!U32</f>
        <v>401</v>
      </c>
      <c r="D1033" s="72">
        <f t="shared" ref="D1033" si="88">C1033/B1033</f>
        <v>0.44555555555555554</v>
      </c>
      <c r="E1033" s="73" t="str">
        <f t="shared" si="86"/>
        <v>E</v>
      </c>
      <c r="F1033" s="70">
        <f>MAX('Marks Input'!$P$4:$P$37)</f>
        <v>673</v>
      </c>
      <c r="G1033" s="71">
        <f>MIN('Marks Input'!$P$4:$P$37)</f>
        <v>322</v>
      </c>
      <c r="H1033" s="74">
        <f>'Marks Input'!$P$40</f>
        <v>493.26</v>
      </c>
      <c r="I1033" s="75">
        <f>'FM-2'!AF32</f>
        <v>28</v>
      </c>
    </row>
    <row r="1034" spans="1:9" ht="21" customHeight="1" thickBot="1" x14ac:dyDescent="0.35">
      <c r="A1034" s="196" t="s">
        <v>15</v>
      </c>
      <c r="B1034" s="197"/>
      <c r="C1034" s="197"/>
      <c r="H1034" s="82"/>
      <c r="I1034" s="83"/>
    </row>
    <row r="1035" spans="1:9" ht="35.1" customHeight="1" x14ac:dyDescent="0.3">
      <c r="A1035" s="198" t="str">
        <f>IF(D1033&gt;0.399,"Promoted Successfully","Not Promoted")</f>
        <v>Promoted Successfully</v>
      </c>
      <c r="B1035" s="199"/>
      <c r="C1035" s="199"/>
      <c r="D1035" s="199"/>
      <c r="E1035" s="199"/>
      <c r="F1035" s="199"/>
      <c r="G1035" s="199"/>
      <c r="H1035" s="199"/>
      <c r="I1035" s="200"/>
    </row>
    <row r="1036" spans="1:9" ht="35.1" customHeight="1" thickBot="1" x14ac:dyDescent="0.35">
      <c r="A1036" s="201"/>
      <c r="B1036" s="202"/>
      <c r="C1036" s="202"/>
      <c r="D1036" s="202"/>
      <c r="E1036" s="202"/>
      <c r="F1036" s="202"/>
      <c r="G1036" s="202"/>
      <c r="H1036" s="202"/>
      <c r="I1036" s="203"/>
    </row>
    <row r="1037" spans="1:9" ht="30" customHeight="1" x14ac:dyDescent="0.3">
      <c r="A1037" s="84"/>
      <c r="B1037" s="85"/>
      <c r="C1037" s="85"/>
      <c r="D1037" s="121" t="s">
        <v>140</v>
      </c>
      <c r="E1037" s="86"/>
      <c r="F1037" s="86"/>
      <c r="G1037" s="204"/>
      <c r="H1037" s="204"/>
      <c r="I1037" s="205"/>
    </row>
    <row r="1038" spans="1:9" ht="30" customHeight="1" x14ac:dyDescent="0.3">
      <c r="A1038" s="84"/>
      <c r="D1038" s="121" t="s">
        <v>16</v>
      </c>
      <c r="E1038" s="86"/>
      <c r="F1038" s="86"/>
      <c r="G1038" s="206"/>
      <c r="H1038" s="206"/>
      <c r="I1038" s="207"/>
    </row>
    <row r="1039" spans="1:9" ht="15" customHeight="1" x14ac:dyDescent="0.3">
      <c r="A1039" s="84"/>
      <c r="F1039" s="208" t="str">
        <f>A1016</f>
        <v>APS Hazro</v>
      </c>
      <c r="G1039" s="208"/>
      <c r="H1039" s="208"/>
      <c r="I1039" s="209"/>
    </row>
    <row r="1040" spans="1:9" ht="15" customHeight="1" thickBot="1" x14ac:dyDescent="0.35">
      <c r="A1040" s="210"/>
      <c r="B1040" s="211"/>
      <c r="C1040" s="211"/>
      <c r="D1040" s="211"/>
      <c r="E1040" s="211"/>
      <c r="F1040" s="211"/>
      <c r="G1040" s="211"/>
      <c r="H1040" s="211"/>
      <c r="I1040" s="212"/>
    </row>
    <row r="1041" spans="1:9" ht="15" customHeight="1" x14ac:dyDescent="0.3">
      <c r="A1041" s="213"/>
      <c r="B1041" s="214"/>
      <c r="C1041" s="214"/>
      <c r="D1041" s="214"/>
      <c r="E1041" s="214"/>
      <c r="F1041" s="214"/>
      <c r="G1041" s="214"/>
      <c r="H1041" s="214"/>
      <c r="I1041" s="215"/>
    </row>
    <row r="1042" spans="1:9" ht="21" customHeight="1" x14ac:dyDescent="0.35">
      <c r="A1042" s="87" t="s">
        <v>17</v>
      </c>
      <c r="B1042" s="105">
        <f>H1020</f>
        <v>30</v>
      </c>
      <c r="C1042" s="88"/>
      <c r="D1042" s="89" t="s">
        <v>3</v>
      </c>
      <c r="E1042" s="89" t="str">
        <f>E1020</f>
        <v>7TH</v>
      </c>
      <c r="F1042" s="90" t="s">
        <v>18</v>
      </c>
      <c r="G1042" s="216" t="str">
        <f>E1033</f>
        <v>E</v>
      </c>
      <c r="H1042" s="216"/>
      <c r="I1042" s="217"/>
    </row>
    <row r="1043" spans="1:9" ht="30" customHeight="1" x14ac:dyDescent="0.3">
      <c r="A1043" s="176" t="s">
        <v>210</v>
      </c>
      <c r="B1043" s="177"/>
      <c r="C1043" s="218"/>
      <c r="D1043" s="218"/>
      <c r="E1043" s="187" t="s">
        <v>19</v>
      </c>
      <c r="F1043" s="187"/>
      <c r="G1043" s="219">
        <f>'FM-2'!G32</f>
        <v>3005327896</v>
      </c>
      <c r="H1043" s="219"/>
      <c r="I1043" s="220"/>
    </row>
    <row r="1044" spans="1:9" ht="30" customHeight="1" x14ac:dyDescent="0.3">
      <c r="A1044" s="176" t="s">
        <v>20</v>
      </c>
      <c r="B1044" s="177"/>
      <c r="C1044" s="178"/>
      <c r="D1044" s="178"/>
      <c r="E1044" s="178"/>
      <c r="F1044" s="178"/>
      <c r="G1044" s="178"/>
      <c r="H1044" s="178"/>
      <c r="I1044" s="179"/>
    </row>
    <row r="1045" spans="1:9" ht="30" customHeight="1" x14ac:dyDescent="0.3">
      <c r="A1045" s="180"/>
      <c r="B1045" s="181"/>
      <c r="C1045" s="181"/>
      <c r="D1045" s="181"/>
      <c r="E1045" s="181"/>
      <c r="F1045" s="181"/>
      <c r="G1045" s="181"/>
      <c r="H1045" s="181"/>
      <c r="I1045" s="182"/>
    </row>
    <row r="1046" spans="1:9" ht="21" customHeight="1" x14ac:dyDescent="0.3">
      <c r="A1046" s="183"/>
      <c r="B1046" s="184"/>
      <c r="C1046" s="184"/>
      <c r="D1046" s="184"/>
      <c r="E1046" s="184"/>
      <c r="F1046" s="184"/>
      <c r="G1046" s="184"/>
      <c r="H1046" s="184"/>
      <c r="I1046" s="185"/>
    </row>
    <row r="1047" spans="1:9" ht="21" customHeight="1" x14ac:dyDescent="0.3">
      <c r="A1047" s="91" t="s">
        <v>207</v>
      </c>
      <c r="B1047" s="186">
        <f ca="1">TODAY()</f>
        <v>46315</v>
      </c>
      <c r="C1047" s="186"/>
      <c r="D1047" s="187" t="s">
        <v>141</v>
      </c>
      <c r="E1047" s="187"/>
      <c r="F1047" s="187"/>
      <c r="G1047" s="188"/>
      <c r="H1047" s="188"/>
      <c r="I1047" s="189"/>
    </row>
    <row r="1048" spans="1:9" ht="21" customHeight="1" x14ac:dyDescent="0.3">
      <c r="A1048" s="190" t="s">
        <v>211</v>
      </c>
      <c r="B1048" s="191"/>
      <c r="C1048" s="191"/>
      <c r="D1048" s="191"/>
      <c r="E1048" s="191"/>
      <c r="F1048" s="191"/>
      <c r="G1048" s="191"/>
      <c r="H1048" s="191"/>
      <c r="I1048" s="192"/>
    </row>
    <row r="1049" spans="1:9" ht="15" customHeight="1" x14ac:dyDescent="0.3">
      <c r="A1049" s="190"/>
      <c r="B1049" s="191"/>
      <c r="C1049" s="191"/>
      <c r="D1049" s="191"/>
      <c r="E1049" s="191"/>
      <c r="F1049" s="191"/>
      <c r="G1049" s="191"/>
      <c r="H1049" s="191"/>
      <c r="I1049" s="192"/>
    </row>
    <row r="1050" spans="1:9" ht="15" thickBot="1" x14ac:dyDescent="0.35">
      <c r="A1050" s="193"/>
      <c r="B1050" s="194"/>
      <c r="C1050" s="194"/>
      <c r="D1050" s="194"/>
      <c r="E1050" s="194"/>
      <c r="F1050" s="194"/>
      <c r="G1050" s="194"/>
      <c r="H1050" s="194"/>
      <c r="I1050" s="195"/>
    </row>
    <row r="1051" spans="1:9" ht="41.1" customHeight="1" thickBot="1" x14ac:dyDescent="0.35">
      <c r="A1051" s="240" t="str">
        <f>'FM-2'!$I$3</f>
        <v>APS Hazro</v>
      </c>
      <c r="B1051" s="241"/>
      <c r="C1051" s="241"/>
      <c r="D1051" s="241"/>
      <c r="E1051" s="241"/>
      <c r="F1051" s="241"/>
      <c r="G1051" s="241"/>
      <c r="H1051" s="241"/>
      <c r="I1051" s="242"/>
    </row>
    <row r="1052" spans="1:9" ht="21" customHeight="1" thickBot="1" x14ac:dyDescent="0.4">
      <c r="A1052" s="129" t="str">
        <f>'FM-2'!$J$3</f>
        <v>ANNUAL EXAM 2024</v>
      </c>
      <c r="B1052" s="67"/>
      <c r="C1052" s="67"/>
      <c r="D1052" s="67"/>
      <c r="E1052" s="67"/>
      <c r="F1052" s="67"/>
      <c r="G1052" s="67"/>
      <c r="H1052" s="67"/>
      <c r="I1052" s="68"/>
    </row>
    <row r="1053" spans="1:9" ht="21" customHeight="1" x14ac:dyDescent="0.35">
      <c r="A1053" s="122"/>
      <c r="B1053" s="123"/>
      <c r="C1053" s="123"/>
      <c r="D1053" s="123"/>
      <c r="E1053" s="123"/>
      <c r="F1053" s="123"/>
      <c r="G1053" s="123"/>
      <c r="H1053" s="123"/>
      <c r="I1053" s="124"/>
    </row>
    <row r="1054" spans="1:9" ht="21" customHeight="1" x14ac:dyDescent="0.3">
      <c r="A1054" s="221" t="s">
        <v>0</v>
      </c>
      <c r="B1054" s="222"/>
      <c r="C1054" s="98" t="str">
        <f>'FM-2'!E33</f>
        <v>Ali31</v>
      </c>
      <c r="D1054" s="98"/>
      <c r="E1054" s="98"/>
      <c r="F1054" s="222" t="s">
        <v>1</v>
      </c>
      <c r="G1054" s="222"/>
      <c r="H1054" s="223" t="str">
        <f>'FM-2'!F33</f>
        <v>Khan 31</v>
      </c>
      <c r="I1054" s="224"/>
    </row>
    <row r="1055" spans="1:9" ht="21" customHeight="1" x14ac:dyDescent="0.3">
      <c r="A1055" s="221" t="s">
        <v>2</v>
      </c>
      <c r="B1055" s="222"/>
      <c r="C1055" s="92">
        <f>'FM-2'!C33</f>
        <v>1030</v>
      </c>
      <c r="D1055" s="93" t="s">
        <v>3</v>
      </c>
      <c r="E1055" s="92" t="str">
        <f>'FM-2'!$B$3</f>
        <v>7TH</v>
      </c>
      <c r="F1055" s="222" t="s">
        <v>4</v>
      </c>
      <c r="G1055" s="222"/>
      <c r="H1055" s="225">
        <f>'FM-2'!D33</f>
        <v>31</v>
      </c>
      <c r="I1055" s="226"/>
    </row>
    <row r="1056" spans="1:9" ht="21" customHeight="1" thickBot="1" x14ac:dyDescent="0.35">
      <c r="A1056" s="227" t="s">
        <v>206</v>
      </c>
      <c r="B1056" s="228"/>
      <c r="C1056" s="94">
        <f>COUNTIF('Marks Input'!$B$4:$B$63,"&gt;0")</f>
        <v>34</v>
      </c>
      <c r="D1056" s="93"/>
      <c r="E1056" s="95"/>
      <c r="F1056" s="93"/>
      <c r="G1056" s="93"/>
      <c r="H1056" s="96"/>
      <c r="I1056" s="97"/>
    </row>
    <row r="1057" spans="1:9" ht="15.75" customHeight="1" thickBot="1" x14ac:dyDescent="0.35">
      <c r="A1057" s="229" t="s">
        <v>5</v>
      </c>
      <c r="B1057" s="231" t="s">
        <v>6</v>
      </c>
      <c r="C1057" s="233" t="s">
        <v>7</v>
      </c>
      <c r="D1057" s="235" t="s">
        <v>209</v>
      </c>
      <c r="E1057" s="229" t="s">
        <v>8</v>
      </c>
      <c r="F1057" s="237" t="s">
        <v>9</v>
      </c>
      <c r="G1057" s="238"/>
      <c r="H1057" s="238"/>
      <c r="I1057" s="239"/>
    </row>
    <row r="1058" spans="1:9" ht="30" customHeight="1" thickBot="1" x14ac:dyDescent="0.35">
      <c r="A1058" s="230"/>
      <c r="B1058" s="232"/>
      <c r="C1058" s="234"/>
      <c r="D1058" s="236"/>
      <c r="E1058" s="230"/>
      <c r="F1058" s="125" t="s">
        <v>10</v>
      </c>
      <c r="G1058" s="126" t="s">
        <v>11</v>
      </c>
      <c r="H1058" s="127" t="s">
        <v>12</v>
      </c>
      <c r="I1058" s="128" t="s">
        <v>208</v>
      </c>
    </row>
    <row r="1059" spans="1:9" ht="15" customHeight="1" thickBot="1" x14ac:dyDescent="0.35">
      <c r="A1059" s="118" t="str">
        <f>'Marks Input'!$G$2</f>
        <v>Urdu</v>
      </c>
      <c r="B1059" s="106">
        <f>'Marks Input'!$G$3</f>
        <v>100</v>
      </c>
      <c r="C1059" s="99">
        <f>'FM-2'!K33</f>
        <v>69</v>
      </c>
      <c r="D1059" s="107">
        <f>C1059/B1059</f>
        <v>0.69</v>
      </c>
      <c r="E1059" s="79" t="str">
        <f>IF(D1059&gt;0.899,"A+",IF(D1059&gt;0.799,"A",IF(D1059&gt;0.699,"B",IF(D1059&gt;0.599,"C",IF(D1059&gt;0.499,"D",IF(D1059&gt;0.399,"E","F"))))))</f>
        <v>C</v>
      </c>
      <c r="F1059" s="100">
        <f>MAX('Marks Input'!$G$4:$G$37)</f>
        <v>72</v>
      </c>
      <c r="G1059" s="101">
        <f>MIN('Marks Input'!$G$4:$G$37)</f>
        <v>40</v>
      </c>
      <c r="H1059" s="108">
        <f>'Marks Input'!$G$40</f>
        <v>62.59</v>
      </c>
      <c r="I1059" s="76">
        <f>'FM-2'!V33</f>
        <v>6</v>
      </c>
    </row>
    <row r="1060" spans="1:9" ht="15" customHeight="1" thickBot="1" x14ac:dyDescent="0.35">
      <c r="A1060" s="119" t="str">
        <f>'Marks Input'!$H$2</f>
        <v>English</v>
      </c>
      <c r="B1060" s="109">
        <f>'Marks Input'!$H$3</f>
        <v>100</v>
      </c>
      <c r="C1060" s="102">
        <f>'FM-2'!L33</f>
        <v>40</v>
      </c>
      <c r="D1060" s="110">
        <f>C1060/B1060</f>
        <v>0.4</v>
      </c>
      <c r="E1060" s="79" t="str">
        <f t="shared" ref="E1060:E1068" si="89">IF(D1060&gt;0.899,"A+",IF(D1060&gt;0.799,"A",IF(D1060&gt;0.699,"B",IF(D1060&gt;0.599,"C",IF(D1060&gt;0.499,"D",IF(D1060&gt;0.399,"E","F"))))))</f>
        <v>E</v>
      </c>
      <c r="F1060" s="103">
        <f>MAX('Marks Input'!$H$4:$H$37)</f>
        <v>74</v>
      </c>
      <c r="G1060" s="104">
        <f>MIN('Marks Input'!$H$4:$H$37)</f>
        <v>30</v>
      </c>
      <c r="H1060" s="111">
        <f>'Marks Input'!$H$40</f>
        <v>43.26</v>
      </c>
      <c r="I1060" s="77">
        <f>'FM-2'!W33</f>
        <v>15</v>
      </c>
    </row>
    <row r="1061" spans="1:9" ht="15" customHeight="1" thickBot="1" x14ac:dyDescent="0.35">
      <c r="A1061" s="119" t="str">
        <f>'Marks Input'!$I$2</f>
        <v>Islamiyat</v>
      </c>
      <c r="B1061" s="109">
        <f>'Marks Input'!$I$3</f>
        <v>100</v>
      </c>
      <c r="C1061" s="102">
        <f>'FM-2'!M33</f>
        <v>44</v>
      </c>
      <c r="D1061" s="110">
        <f t="shared" ref="D1061:D1066" si="90">C1061/B1061</f>
        <v>0.44</v>
      </c>
      <c r="E1061" s="79" t="str">
        <f t="shared" si="89"/>
        <v>E</v>
      </c>
      <c r="F1061" s="103">
        <f>MAX('Marks Input'!$I$4:$I$37)</f>
        <v>88</v>
      </c>
      <c r="G1061" s="104">
        <f>MIN('Marks Input'!$I$4:$I$37)</f>
        <v>34</v>
      </c>
      <c r="H1061" s="111">
        <f>'Marks Input'!$I$40</f>
        <v>48.29</v>
      </c>
      <c r="I1061" s="77">
        <f>'FM-2'!X33</f>
        <v>19</v>
      </c>
    </row>
    <row r="1062" spans="1:9" ht="15" customHeight="1" thickBot="1" x14ac:dyDescent="0.35">
      <c r="A1062" s="119" t="str">
        <f>'Marks Input'!$J$2</f>
        <v>Pak Studies</v>
      </c>
      <c r="B1062" s="109">
        <f>'Marks Input'!$J$3</f>
        <v>100</v>
      </c>
      <c r="C1062" s="102">
        <f>'FM-2'!N33</f>
        <v>40</v>
      </c>
      <c r="D1062" s="110">
        <f t="shared" si="90"/>
        <v>0.4</v>
      </c>
      <c r="E1062" s="79" t="str">
        <f t="shared" si="89"/>
        <v>E</v>
      </c>
      <c r="F1062" s="103">
        <f>MAX('Marks Input'!$J$4:$J$37)</f>
        <v>96</v>
      </c>
      <c r="G1062" s="104">
        <f>MIN('Marks Input'!$J$4:$J$37)</f>
        <v>34</v>
      </c>
      <c r="H1062" s="111">
        <f>'Marks Input'!$J$40</f>
        <v>71.03</v>
      </c>
      <c r="I1062" s="77">
        <f>'FM-2'!Y33</f>
        <v>31</v>
      </c>
    </row>
    <row r="1063" spans="1:9" ht="15" customHeight="1" thickBot="1" x14ac:dyDescent="0.35">
      <c r="A1063" s="119" t="str">
        <f>'Marks Input'!$K$2</f>
        <v>Maths</v>
      </c>
      <c r="B1063" s="109">
        <f>'Marks Input'!$K$3</f>
        <v>100</v>
      </c>
      <c r="C1063" s="102">
        <f>'FM-2'!O33</f>
        <v>60</v>
      </c>
      <c r="D1063" s="110">
        <f t="shared" si="90"/>
        <v>0.6</v>
      </c>
      <c r="E1063" s="79" t="str">
        <f t="shared" si="89"/>
        <v>C</v>
      </c>
      <c r="F1063" s="103">
        <f>MAX('Marks Input'!$K$4:$K$37)</f>
        <v>94</v>
      </c>
      <c r="G1063" s="104">
        <f>MIN('Marks Input'!$K$4:$K$37)</f>
        <v>57</v>
      </c>
      <c r="H1063" s="111">
        <f>'Marks Input'!$K$40</f>
        <v>75.819999999999993</v>
      </c>
      <c r="I1063" s="77">
        <f>'FM-2'!Z33</f>
        <v>4</v>
      </c>
    </row>
    <row r="1064" spans="1:9" ht="15" customHeight="1" thickBot="1" x14ac:dyDescent="0.35">
      <c r="A1064" s="119" t="str">
        <f>'Marks Input'!$L$2</f>
        <v>Sci./ Che.</v>
      </c>
      <c r="B1064" s="109">
        <f>'Marks Input'!$L$3</f>
        <v>100</v>
      </c>
      <c r="C1064" s="102">
        <f>'FM-2'!P33</f>
        <v>77</v>
      </c>
      <c r="D1064" s="110">
        <f t="shared" si="90"/>
        <v>0.77</v>
      </c>
      <c r="E1064" s="79" t="str">
        <f t="shared" si="89"/>
        <v>B</v>
      </c>
      <c r="F1064" s="103">
        <f>MAX('Marks Input'!$L$4:$L$37)</f>
        <v>98</v>
      </c>
      <c r="G1064" s="104">
        <f>MIN('Marks Input'!$L$4:$L$37)</f>
        <v>40</v>
      </c>
      <c r="H1064" s="111">
        <f>'Marks Input'!$L$40</f>
        <v>61.09</v>
      </c>
      <c r="I1064" s="77">
        <f>'FM-2'!AA33</f>
        <v>17</v>
      </c>
    </row>
    <row r="1065" spans="1:9" ht="15" customHeight="1" thickBot="1" x14ac:dyDescent="0.35">
      <c r="A1065" s="119" t="str">
        <f>'Marks Input'!$M$2</f>
        <v>Nazra</v>
      </c>
      <c r="B1065" s="109">
        <f>'Marks Input'!$M$3</f>
        <v>100</v>
      </c>
      <c r="C1065" s="102">
        <f>'FM-2'!Q33</f>
        <v>75</v>
      </c>
      <c r="D1065" s="110">
        <f t="shared" si="90"/>
        <v>0.75</v>
      </c>
      <c r="E1065" s="79" t="str">
        <f t="shared" si="89"/>
        <v>B</v>
      </c>
      <c r="F1065" s="103">
        <f>MAX('Marks Input'!$M$4:$M$37)</f>
        <v>94</v>
      </c>
      <c r="G1065" s="104">
        <f>MIN('Marks Input'!$M$4:$M$37)</f>
        <v>32</v>
      </c>
      <c r="H1065" s="111">
        <f>'Marks Input'!$M$40</f>
        <v>57.79</v>
      </c>
      <c r="I1065" s="77">
        <f>'FM-2'!AB33</f>
        <v>5</v>
      </c>
    </row>
    <row r="1066" spans="1:9" ht="15" customHeight="1" thickBot="1" x14ac:dyDescent="0.35">
      <c r="A1066" s="119" t="str">
        <f>'Marks Input'!$N$2</f>
        <v>Physics</v>
      </c>
      <c r="B1066" s="109">
        <f>'Marks Input'!$N$3</f>
        <v>100</v>
      </c>
      <c r="C1066" s="102">
        <f>'FM-2'!R33</f>
        <v>72</v>
      </c>
      <c r="D1066" s="110">
        <f t="shared" si="90"/>
        <v>0.72</v>
      </c>
      <c r="E1066" s="79" t="str">
        <f t="shared" si="89"/>
        <v>B</v>
      </c>
      <c r="F1066" s="103">
        <f>MAX('Marks Input'!$N$4:$N$37)</f>
        <v>60</v>
      </c>
      <c r="G1066" s="104">
        <f>MIN('Marks Input'!$N$4:$N$37)</f>
        <v>18</v>
      </c>
      <c r="H1066" s="111">
        <f>'Marks Input'!$N$40</f>
        <v>42.94</v>
      </c>
      <c r="I1066" s="77">
        <f>'FM-2'!AC33</f>
        <v>27</v>
      </c>
    </row>
    <row r="1067" spans="1:9" ht="15" customHeight="1" thickBot="1" x14ac:dyDescent="0.35">
      <c r="A1067" s="120" t="str">
        <f>'Marks Input'!$O$2</f>
        <v>Bio./Comp.</v>
      </c>
      <c r="B1067" s="112">
        <f>'Marks Input'!$O$3</f>
        <v>100</v>
      </c>
      <c r="C1067" s="113">
        <f>'FM-2'!S33</f>
        <v>75</v>
      </c>
      <c r="D1067" s="114">
        <f>C1067/B1067</f>
        <v>0.75</v>
      </c>
      <c r="E1067" s="80" t="str">
        <f t="shared" si="89"/>
        <v>B</v>
      </c>
      <c r="F1067" s="115">
        <f>MAX('Marks Input'!$O$4:$O$37)</f>
        <v>40</v>
      </c>
      <c r="G1067" s="116">
        <f>MIN('Marks Input'!$O$4:$O$37)</f>
        <v>14</v>
      </c>
      <c r="H1067" s="117">
        <f>'Marks Input'!$O$40</f>
        <v>30.44</v>
      </c>
      <c r="I1067" s="78">
        <f>'FM-2'!AD33</f>
        <v>5</v>
      </c>
    </row>
    <row r="1068" spans="1:9" ht="21" customHeight="1" thickBot="1" x14ac:dyDescent="0.45">
      <c r="A1068" s="69" t="s">
        <v>14</v>
      </c>
      <c r="B1068" s="70">
        <f>'Marks Input'!$P$3</f>
        <v>900</v>
      </c>
      <c r="C1068" s="71">
        <f>'FM-2'!U33</f>
        <v>502</v>
      </c>
      <c r="D1068" s="72">
        <f t="shared" ref="D1068" si="91">C1068/B1068</f>
        <v>0.55777777777777782</v>
      </c>
      <c r="E1068" s="73" t="str">
        <f t="shared" si="89"/>
        <v>D</v>
      </c>
      <c r="F1068" s="70">
        <f>MAX('Marks Input'!$P$4:$P$37)</f>
        <v>673</v>
      </c>
      <c r="G1068" s="71">
        <f>MIN('Marks Input'!$P$4:$P$37)</f>
        <v>322</v>
      </c>
      <c r="H1068" s="74">
        <f>'Marks Input'!$P$40</f>
        <v>493.26</v>
      </c>
      <c r="I1068" s="75">
        <f>'FM-2'!AF33</f>
        <v>17</v>
      </c>
    </row>
    <row r="1069" spans="1:9" ht="21" customHeight="1" thickBot="1" x14ac:dyDescent="0.35">
      <c r="A1069" s="196" t="s">
        <v>15</v>
      </c>
      <c r="B1069" s="197"/>
      <c r="C1069" s="197"/>
      <c r="H1069" s="82"/>
      <c r="I1069" s="83"/>
    </row>
    <row r="1070" spans="1:9" ht="35.1" customHeight="1" x14ac:dyDescent="0.3">
      <c r="A1070" s="198" t="str">
        <f>IF(D1068&gt;0.399,"Promoted Successfully","Not Promoted")</f>
        <v>Promoted Successfully</v>
      </c>
      <c r="B1070" s="199"/>
      <c r="C1070" s="199"/>
      <c r="D1070" s="199"/>
      <c r="E1070" s="199"/>
      <c r="F1070" s="199"/>
      <c r="G1070" s="199"/>
      <c r="H1070" s="199"/>
      <c r="I1070" s="200"/>
    </row>
    <row r="1071" spans="1:9" ht="35.1" customHeight="1" thickBot="1" x14ac:dyDescent="0.35">
      <c r="A1071" s="201"/>
      <c r="B1071" s="202"/>
      <c r="C1071" s="202"/>
      <c r="D1071" s="202"/>
      <c r="E1071" s="202"/>
      <c r="F1071" s="202"/>
      <c r="G1071" s="202"/>
      <c r="H1071" s="202"/>
      <c r="I1071" s="203"/>
    </row>
    <row r="1072" spans="1:9" ht="30" customHeight="1" x14ac:dyDescent="0.3">
      <c r="A1072" s="84"/>
      <c r="B1072" s="85"/>
      <c r="C1072" s="85"/>
      <c r="D1072" s="121" t="s">
        <v>140</v>
      </c>
      <c r="E1072" s="86"/>
      <c r="F1072" s="86"/>
      <c r="G1072" s="204"/>
      <c r="H1072" s="204"/>
      <c r="I1072" s="205"/>
    </row>
    <row r="1073" spans="1:9" ht="30" customHeight="1" x14ac:dyDescent="0.3">
      <c r="A1073" s="84"/>
      <c r="D1073" s="121" t="s">
        <v>16</v>
      </c>
      <c r="E1073" s="86"/>
      <c r="F1073" s="86"/>
      <c r="G1073" s="206"/>
      <c r="H1073" s="206"/>
      <c r="I1073" s="207"/>
    </row>
    <row r="1074" spans="1:9" ht="15" customHeight="1" x14ac:dyDescent="0.3">
      <c r="A1074" s="84"/>
      <c r="F1074" s="208" t="str">
        <f>A1051</f>
        <v>APS Hazro</v>
      </c>
      <c r="G1074" s="208"/>
      <c r="H1074" s="208"/>
      <c r="I1074" s="209"/>
    </row>
    <row r="1075" spans="1:9" ht="15" customHeight="1" thickBot="1" x14ac:dyDescent="0.35">
      <c r="A1075" s="210"/>
      <c r="B1075" s="211"/>
      <c r="C1075" s="211"/>
      <c r="D1075" s="211"/>
      <c r="E1075" s="211"/>
      <c r="F1075" s="211"/>
      <c r="G1075" s="211"/>
      <c r="H1075" s="211"/>
      <c r="I1075" s="212"/>
    </row>
    <row r="1076" spans="1:9" ht="15" customHeight="1" x14ac:dyDescent="0.3">
      <c r="A1076" s="213"/>
      <c r="B1076" s="214"/>
      <c r="C1076" s="214"/>
      <c r="D1076" s="214"/>
      <c r="E1076" s="214"/>
      <c r="F1076" s="214"/>
      <c r="G1076" s="214"/>
      <c r="H1076" s="214"/>
      <c r="I1076" s="215"/>
    </row>
    <row r="1077" spans="1:9" ht="21" customHeight="1" x14ac:dyDescent="0.35">
      <c r="A1077" s="87" t="s">
        <v>17</v>
      </c>
      <c r="B1077" s="105">
        <f>H1055</f>
        <v>31</v>
      </c>
      <c r="C1077" s="88"/>
      <c r="D1077" s="89" t="s">
        <v>3</v>
      </c>
      <c r="E1077" s="89" t="str">
        <f>E1055</f>
        <v>7TH</v>
      </c>
      <c r="F1077" s="90" t="s">
        <v>18</v>
      </c>
      <c r="G1077" s="216" t="str">
        <f>E1068</f>
        <v>D</v>
      </c>
      <c r="H1077" s="216"/>
      <c r="I1077" s="217"/>
    </row>
    <row r="1078" spans="1:9" ht="30" customHeight="1" x14ac:dyDescent="0.3">
      <c r="A1078" s="176" t="s">
        <v>210</v>
      </c>
      <c r="B1078" s="177"/>
      <c r="C1078" s="218"/>
      <c r="D1078" s="218"/>
      <c r="E1078" s="187" t="s">
        <v>19</v>
      </c>
      <c r="F1078" s="187"/>
      <c r="G1078" s="219">
        <f>'FM-2'!G33</f>
        <v>3005327937</v>
      </c>
      <c r="H1078" s="219"/>
      <c r="I1078" s="220"/>
    </row>
    <row r="1079" spans="1:9" ht="30" customHeight="1" x14ac:dyDescent="0.3">
      <c r="A1079" s="176" t="s">
        <v>20</v>
      </c>
      <c r="B1079" s="177"/>
      <c r="C1079" s="178"/>
      <c r="D1079" s="178"/>
      <c r="E1079" s="178"/>
      <c r="F1079" s="178"/>
      <c r="G1079" s="178"/>
      <c r="H1079" s="178"/>
      <c r="I1079" s="179"/>
    </row>
    <row r="1080" spans="1:9" ht="30" customHeight="1" x14ac:dyDescent="0.3">
      <c r="A1080" s="180"/>
      <c r="B1080" s="181"/>
      <c r="C1080" s="181"/>
      <c r="D1080" s="181"/>
      <c r="E1080" s="181"/>
      <c r="F1080" s="181"/>
      <c r="G1080" s="181"/>
      <c r="H1080" s="181"/>
      <c r="I1080" s="182"/>
    </row>
    <row r="1081" spans="1:9" ht="21" customHeight="1" x14ac:dyDescent="0.3">
      <c r="A1081" s="183"/>
      <c r="B1081" s="184"/>
      <c r="C1081" s="184"/>
      <c r="D1081" s="184"/>
      <c r="E1081" s="184"/>
      <c r="F1081" s="184"/>
      <c r="G1081" s="184"/>
      <c r="H1081" s="184"/>
      <c r="I1081" s="185"/>
    </row>
    <row r="1082" spans="1:9" ht="21" customHeight="1" x14ac:dyDescent="0.3">
      <c r="A1082" s="91" t="s">
        <v>207</v>
      </c>
      <c r="B1082" s="186">
        <f ca="1">TODAY()</f>
        <v>46315</v>
      </c>
      <c r="C1082" s="186"/>
      <c r="D1082" s="187" t="s">
        <v>141</v>
      </c>
      <c r="E1082" s="187"/>
      <c r="F1082" s="187"/>
      <c r="G1082" s="188"/>
      <c r="H1082" s="188"/>
      <c r="I1082" s="189"/>
    </row>
    <row r="1083" spans="1:9" ht="21" customHeight="1" x14ac:dyDescent="0.3">
      <c r="A1083" s="190" t="s">
        <v>211</v>
      </c>
      <c r="B1083" s="191"/>
      <c r="C1083" s="191"/>
      <c r="D1083" s="191"/>
      <c r="E1083" s="191"/>
      <c r="F1083" s="191"/>
      <c r="G1083" s="191"/>
      <c r="H1083" s="191"/>
      <c r="I1083" s="192"/>
    </row>
    <row r="1084" spans="1:9" ht="15" customHeight="1" x14ac:dyDescent="0.3">
      <c r="A1084" s="190"/>
      <c r="B1084" s="191"/>
      <c r="C1084" s="191"/>
      <c r="D1084" s="191"/>
      <c r="E1084" s="191"/>
      <c r="F1084" s="191"/>
      <c r="G1084" s="191"/>
      <c r="H1084" s="191"/>
      <c r="I1084" s="192"/>
    </row>
    <row r="1085" spans="1:9" ht="15" thickBot="1" x14ac:dyDescent="0.35">
      <c r="A1085" s="193"/>
      <c r="B1085" s="194"/>
      <c r="C1085" s="194"/>
      <c r="D1085" s="194"/>
      <c r="E1085" s="194"/>
      <c r="F1085" s="194"/>
      <c r="G1085" s="194"/>
      <c r="H1085" s="194"/>
      <c r="I1085" s="195"/>
    </row>
    <row r="1086" spans="1:9" ht="41.1" customHeight="1" thickBot="1" x14ac:dyDescent="0.35">
      <c r="A1086" s="240" t="str">
        <f>'FM-2'!$I$3</f>
        <v>APS Hazro</v>
      </c>
      <c r="B1086" s="241"/>
      <c r="C1086" s="241"/>
      <c r="D1086" s="241"/>
      <c r="E1086" s="241"/>
      <c r="F1086" s="241"/>
      <c r="G1086" s="241"/>
      <c r="H1086" s="241"/>
      <c r="I1086" s="242"/>
    </row>
    <row r="1087" spans="1:9" ht="21" customHeight="1" thickBot="1" x14ac:dyDescent="0.4">
      <c r="A1087" s="129" t="str">
        <f>'FM-2'!$J$3</f>
        <v>ANNUAL EXAM 2024</v>
      </c>
      <c r="B1087" s="67"/>
      <c r="C1087" s="67"/>
      <c r="D1087" s="67"/>
      <c r="E1087" s="67"/>
      <c r="F1087" s="67"/>
      <c r="G1087" s="67"/>
      <c r="H1087" s="67"/>
      <c r="I1087" s="68"/>
    </row>
    <row r="1088" spans="1:9" ht="21" customHeight="1" x14ac:dyDescent="0.35">
      <c r="A1088" s="122"/>
      <c r="B1088" s="123"/>
      <c r="C1088" s="123"/>
      <c r="D1088" s="123"/>
      <c r="E1088" s="123"/>
      <c r="F1088" s="123"/>
      <c r="G1088" s="123"/>
      <c r="H1088" s="123"/>
      <c r="I1088" s="124"/>
    </row>
    <row r="1089" spans="1:9" ht="21" customHeight="1" x14ac:dyDescent="0.3">
      <c r="A1089" s="221" t="s">
        <v>0</v>
      </c>
      <c r="B1089" s="222"/>
      <c r="C1089" s="98" t="str">
        <f>'FM-2'!E34</f>
        <v>Ali32</v>
      </c>
      <c r="D1089" s="98"/>
      <c r="E1089" s="98"/>
      <c r="F1089" s="222" t="s">
        <v>1</v>
      </c>
      <c r="G1089" s="222"/>
      <c r="H1089" s="223" t="str">
        <f>'FM-2'!F34</f>
        <v>Khan 32</v>
      </c>
      <c r="I1089" s="224"/>
    </row>
    <row r="1090" spans="1:9" ht="21" customHeight="1" x14ac:dyDescent="0.3">
      <c r="A1090" s="221" t="s">
        <v>2</v>
      </c>
      <c r="B1090" s="222"/>
      <c r="C1090" s="92">
        <f>'FM-2'!C34</f>
        <v>1031</v>
      </c>
      <c r="D1090" s="93" t="s">
        <v>3</v>
      </c>
      <c r="E1090" s="92" t="str">
        <f>'FM-2'!$B$3</f>
        <v>7TH</v>
      </c>
      <c r="F1090" s="222" t="s">
        <v>4</v>
      </c>
      <c r="G1090" s="222"/>
      <c r="H1090" s="225">
        <f>'FM-2'!D34</f>
        <v>32</v>
      </c>
      <c r="I1090" s="226"/>
    </row>
    <row r="1091" spans="1:9" ht="21" customHeight="1" thickBot="1" x14ac:dyDescent="0.35">
      <c r="A1091" s="227" t="s">
        <v>206</v>
      </c>
      <c r="B1091" s="228"/>
      <c r="C1091" s="94">
        <f>COUNTIF('Marks Input'!$B$4:$B$63,"&gt;0")</f>
        <v>34</v>
      </c>
      <c r="D1091" s="93"/>
      <c r="E1091" s="95"/>
      <c r="F1091" s="93"/>
      <c r="G1091" s="93"/>
      <c r="H1091" s="96"/>
      <c r="I1091" s="97"/>
    </row>
    <row r="1092" spans="1:9" ht="15.75" customHeight="1" thickBot="1" x14ac:dyDescent="0.35">
      <c r="A1092" s="229" t="s">
        <v>5</v>
      </c>
      <c r="B1092" s="231" t="s">
        <v>6</v>
      </c>
      <c r="C1092" s="233" t="s">
        <v>7</v>
      </c>
      <c r="D1092" s="235" t="s">
        <v>209</v>
      </c>
      <c r="E1092" s="229" t="s">
        <v>8</v>
      </c>
      <c r="F1092" s="237" t="s">
        <v>9</v>
      </c>
      <c r="G1092" s="238"/>
      <c r="H1092" s="238"/>
      <c r="I1092" s="239"/>
    </row>
    <row r="1093" spans="1:9" ht="30" customHeight="1" thickBot="1" x14ac:dyDescent="0.35">
      <c r="A1093" s="230"/>
      <c r="B1093" s="232"/>
      <c r="C1093" s="234"/>
      <c r="D1093" s="236"/>
      <c r="E1093" s="230"/>
      <c r="F1093" s="125" t="s">
        <v>10</v>
      </c>
      <c r="G1093" s="126" t="s">
        <v>11</v>
      </c>
      <c r="H1093" s="127" t="s">
        <v>12</v>
      </c>
      <c r="I1093" s="128" t="s">
        <v>208</v>
      </c>
    </row>
    <row r="1094" spans="1:9" ht="15" customHeight="1" thickBot="1" x14ac:dyDescent="0.35">
      <c r="A1094" s="118" t="str">
        <f>'Marks Input'!$G$2</f>
        <v>Urdu</v>
      </c>
      <c r="B1094" s="106">
        <f>'Marks Input'!$G$3</f>
        <v>100</v>
      </c>
      <c r="C1094" s="99">
        <f>'FM-2'!K34</f>
        <v>65</v>
      </c>
      <c r="D1094" s="107">
        <f>C1094/B1094</f>
        <v>0.65</v>
      </c>
      <c r="E1094" s="79" t="str">
        <f>IF(D1094&gt;0.899,"A+",IF(D1094&gt;0.799,"A",IF(D1094&gt;0.699,"B",IF(D1094&gt;0.599,"C",IF(D1094&gt;0.499,"D",IF(D1094&gt;0.399,"E","F"))))))</f>
        <v>C</v>
      </c>
      <c r="F1094" s="100">
        <f>MAX('Marks Input'!$G$4:$G$37)</f>
        <v>72</v>
      </c>
      <c r="G1094" s="101">
        <f>MIN('Marks Input'!$G$4:$G$37)</f>
        <v>40</v>
      </c>
      <c r="H1094" s="108">
        <f>'Marks Input'!$G$40</f>
        <v>62.59</v>
      </c>
      <c r="I1094" s="76">
        <f>'FM-2'!V34</f>
        <v>15</v>
      </c>
    </row>
    <row r="1095" spans="1:9" ht="15" customHeight="1" thickBot="1" x14ac:dyDescent="0.35">
      <c r="A1095" s="119" t="str">
        <f>'Marks Input'!$H$2</f>
        <v>English</v>
      </c>
      <c r="B1095" s="109">
        <f>'Marks Input'!$H$3</f>
        <v>100</v>
      </c>
      <c r="C1095" s="102">
        <f>'FM-2'!L34</f>
        <v>33</v>
      </c>
      <c r="D1095" s="110">
        <f>C1095/B1095</f>
        <v>0.33</v>
      </c>
      <c r="E1095" s="79" t="str">
        <f t="shared" ref="E1095:E1103" si="92">IF(D1095&gt;0.899,"A+",IF(D1095&gt;0.799,"A",IF(D1095&gt;0.699,"B",IF(D1095&gt;0.599,"C",IF(D1095&gt;0.499,"D",IF(D1095&gt;0.399,"E","F"))))))</f>
        <v>F</v>
      </c>
      <c r="F1095" s="103">
        <f>MAX('Marks Input'!$H$4:$H$37)</f>
        <v>74</v>
      </c>
      <c r="G1095" s="104">
        <f>MIN('Marks Input'!$H$4:$H$37)</f>
        <v>30</v>
      </c>
      <c r="H1095" s="111">
        <f>'Marks Input'!$H$40</f>
        <v>43.26</v>
      </c>
      <c r="I1095" s="77">
        <f>'FM-2'!W34</f>
        <v>19</v>
      </c>
    </row>
    <row r="1096" spans="1:9" ht="15" customHeight="1" thickBot="1" x14ac:dyDescent="0.35">
      <c r="A1096" s="119" t="str">
        <f>'Marks Input'!$I$2</f>
        <v>Islamiyat</v>
      </c>
      <c r="B1096" s="109">
        <f>'Marks Input'!$I$3</f>
        <v>100</v>
      </c>
      <c r="C1096" s="102">
        <f>'FM-2'!M34</f>
        <v>38</v>
      </c>
      <c r="D1096" s="110">
        <f t="shared" ref="D1096:D1101" si="93">C1096/B1096</f>
        <v>0.38</v>
      </c>
      <c r="E1096" s="79" t="str">
        <f t="shared" si="92"/>
        <v>F</v>
      </c>
      <c r="F1096" s="103">
        <f>MAX('Marks Input'!$I$4:$I$37)</f>
        <v>88</v>
      </c>
      <c r="G1096" s="104">
        <f>MIN('Marks Input'!$I$4:$I$37)</f>
        <v>34</v>
      </c>
      <c r="H1096" s="111">
        <f>'Marks Input'!$I$40</f>
        <v>48.29</v>
      </c>
      <c r="I1096" s="77">
        <f>'FM-2'!X34</f>
        <v>23</v>
      </c>
    </row>
    <row r="1097" spans="1:9" ht="15" customHeight="1" thickBot="1" x14ac:dyDescent="0.35">
      <c r="A1097" s="119" t="str">
        <f>'Marks Input'!$J$2</f>
        <v>Pak Studies</v>
      </c>
      <c r="B1097" s="109">
        <f>'Marks Input'!$J$3</f>
        <v>100</v>
      </c>
      <c r="C1097" s="102">
        <f>'FM-2'!N34</f>
        <v>58</v>
      </c>
      <c r="D1097" s="110">
        <f t="shared" si="93"/>
        <v>0.57999999999999996</v>
      </c>
      <c r="E1097" s="79" t="str">
        <f t="shared" si="92"/>
        <v>D</v>
      </c>
      <c r="F1097" s="103">
        <f>MAX('Marks Input'!$J$4:$J$37)</f>
        <v>96</v>
      </c>
      <c r="G1097" s="104">
        <f>MIN('Marks Input'!$J$4:$J$37)</f>
        <v>34</v>
      </c>
      <c r="H1097" s="111">
        <f>'Marks Input'!$J$40</f>
        <v>71.03</v>
      </c>
      <c r="I1097" s="77">
        <f>'FM-2'!Y34</f>
        <v>14</v>
      </c>
    </row>
    <row r="1098" spans="1:9" ht="15" customHeight="1" thickBot="1" x14ac:dyDescent="0.35">
      <c r="A1098" s="119" t="str">
        <f>'Marks Input'!$K$2</f>
        <v>Maths</v>
      </c>
      <c r="B1098" s="109">
        <f>'Marks Input'!$K$3</f>
        <v>100</v>
      </c>
      <c r="C1098" s="102">
        <f>'FM-2'!O34</f>
        <v>50</v>
      </c>
      <c r="D1098" s="110">
        <f t="shared" si="93"/>
        <v>0.5</v>
      </c>
      <c r="E1098" s="79" t="str">
        <f t="shared" si="92"/>
        <v>D</v>
      </c>
      <c r="F1098" s="103">
        <f>MAX('Marks Input'!$K$4:$K$37)</f>
        <v>94</v>
      </c>
      <c r="G1098" s="104">
        <f>MIN('Marks Input'!$K$4:$K$37)</f>
        <v>57</v>
      </c>
      <c r="H1098" s="111">
        <f>'Marks Input'!$K$40</f>
        <v>75.819999999999993</v>
      </c>
      <c r="I1098" s="77">
        <f>'FM-2'!Z34</f>
        <v>12</v>
      </c>
    </row>
    <row r="1099" spans="1:9" ht="15" customHeight="1" thickBot="1" x14ac:dyDescent="0.35">
      <c r="A1099" s="119" t="str">
        <f>'Marks Input'!$L$2</f>
        <v>Sci./ Che.</v>
      </c>
      <c r="B1099" s="109">
        <f>'Marks Input'!$L$3</f>
        <v>100</v>
      </c>
      <c r="C1099" s="102">
        <f>'FM-2'!P34</f>
        <v>36</v>
      </c>
      <c r="D1099" s="110">
        <f t="shared" si="93"/>
        <v>0.36</v>
      </c>
      <c r="E1099" s="79" t="str">
        <f t="shared" si="92"/>
        <v>F</v>
      </c>
      <c r="F1099" s="103">
        <f>MAX('Marks Input'!$L$4:$L$37)</f>
        <v>98</v>
      </c>
      <c r="G1099" s="104">
        <f>MIN('Marks Input'!$L$4:$L$37)</f>
        <v>40</v>
      </c>
      <c r="H1099" s="111">
        <f>'Marks Input'!$L$40</f>
        <v>61.09</v>
      </c>
      <c r="I1099" s="77">
        <f>'FM-2'!AA34</f>
        <v>31</v>
      </c>
    </row>
    <row r="1100" spans="1:9" ht="15" customHeight="1" thickBot="1" x14ac:dyDescent="0.35">
      <c r="A1100" s="119" t="str">
        <f>'Marks Input'!$M$2</f>
        <v>Nazra</v>
      </c>
      <c r="B1100" s="109">
        <f>'Marks Input'!$M$3</f>
        <v>100</v>
      </c>
      <c r="C1100" s="102">
        <f>'FM-2'!Q34</f>
        <v>44</v>
      </c>
      <c r="D1100" s="110">
        <f t="shared" si="93"/>
        <v>0.44</v>
      </c>
      <c r="E1100" s="79" t="str">
        <f t="shared" si="92"/>
        <v>E</v>
      </c>
      <c r="F1100" s="103">
        <f>MAX('Marks Input'!$M$4:$M$37)</f>
        <v>94</v>
      </c>
      <c r="G1100" s="104">
        <f>MIN('Marks Input'!$M$4:$M$37)</f>
        <v>32</v>
      </c>
      <c r="H1100" s="111">
        <f>'Marks Input'!$M$40</f>
        <v>57.79</v>
      </c>
      <c r="I1100" s="77">
        <f>'FM-2'!AB34</f>
        <v>27</v>
      </c>
    </row>
    <row r="1101" spans="1:9" ht="15" customHeight="1" thickBot="1" x14ac:dyDescent="0.35">
      <c r="A1101" s="119" t="str">
        <f>'Marks Input'!$N$2</f>
        <v>Physics</v>
      </c>
      <c r="B1101" s="109">
        <f>'Marks Input'!$N$3</f>
        <v>100</v>
      </c>
      <c r="C1101" s="102">
        <f>'FM-2'!R34</f>
        <v>61</v>
      </c>
      <c r="D1101" s="110">
        <f t="shared" si="93"/>
        <v>0.61</v>
      </c>
      <c r="E1101" s="79" t="str">
        <f t="shared" si="92"/>
        <v>C</v>
      </c>
      <c r="F1101" s="103">
        <f>MAX('Marks Input'!$N$4:$N$37)</f>
        <v>60</v>
      </c>
      <c r="G1101" s="104">
        <f>MIN('Marks Input'!$N$4:$N$37)</f>
        <v>18</v>
      </c>
      <c r="H1101" s="111">
        <f>'Marks Input'!$N$40</f>
        <v>42.94</v>
      </c>
      <c r="I1101" s="77">
        <f>'FM-2'!AC34</f>
        <v>32</v>
      </c>
    </row>
    <row r="1102" spans="1:9" ht="15" customHeight="1" thickBot="1" x14ac:dyDescent="0.35">
      <c r="A1102" s="120" t="str">
        <f>'Marks Input'!$O$2</f>
        <v>Bio./Comp.</v>
      </c>
      <c r="B1102" s="112">
        <f>'Marks Input'!$O$3</f>
        <v>100</v>
      </c>
      <c r="C1102" s="113">
        <f>'FM-2'!S34</f>
        <v>44</v>
      </c>
      <c r="D1102" s="114">
        <f>C1102/B1102</f>
        <v>0.44</v>
      </c>
      <c r="E1102" s="80" t="str">
        <f t="shared" si="92"/>
        <v>E</v>
      </c>
      <c r="F1102" s="115">
        <f>MAX('Marks Input'!$O$4:$O$37)</f>
        <v>40</v>
      </c>
      <c r="G1102" s="116">
        <f>MIN('Marks Input'!$O$4:$O$37)</f>
        <v>14</v>
      </c>
      <c r="H1102" s="117">
        <f>'Marks Input'!$O$40</f>
        <v>30.44</v>
      </c>
      <c r="I1102" s="78">
        <f>'FM-2'!AD34</f>
        <v>27</v>
      </c>
    </row>
    <row r="1103" spans="1:9" ht="21" customHeight="1" thickBot="1" x14ac:dyDescent="0.45">
      <c r="A1103" s="69" t="s">
        <v>14</v>
      </c>
      <c r="B1103" s="70">
        <f>'Marks Input'!$P$3</f>
        <v>900</v>
      </c>
      <c r="C1103" s="71">
        <f>'FM-2'!U34</f>
        <v>407</v>
      </c>
      <c r="D1103" s="72">
        <f t="shared" ref="D1103" si="94">C1103/B1103</f>
        <v>0.45222222222222225</v>
      </c>
      <c r="E1103" s="73" t="str">
        <f t="shared" si="92"/>
        <v>E</v>
      </c>
      <c r="F1103" s="70">
        <f>MAX('Marks Input'!$P$4:$P$37)</f>
        <v>673</v>
      </c>
      <c r="G1103" s="71">
        <f>MIN('Marks Input'!$P$4:$P$37)</f>
        <v>322</v>
      </c>
      <c r="H1103" s="74">
        <f>'Marks Input'!$P$40</f>
        <v>493.26</v>
      </c>
      <c r="I1103" s="75">
        <f>'FM-2'!AF34</f>
        <v>27</v>
      </c>
    </row>
    <row r="1104" spans="1:9" ht="21" customHeight="1" thickBot="1" x14ac:dyDescent="0.35">
      <c r="A1104" s="196" t="s">
        <v>15</v>
      </c>
      <c r="B1104" s="197"/>
      <c r="C1104" s="197"/>
      <c r="H1104" s="82"/>
      <c r="I1104" s="83"/>
    </row>
    <row r="1105" spans="1:9" ht="35.1" customHeight="1" x14ac:dyDescent="0.3">
      <c r="A1105" s="198" t="str">
        <f>IF(D1103&gt;0.399,"Promoted Successfully","Not Promoted")</f>
        <v>Promoted Successfully</v>
      </c>
      <c r="B1105" s="199"/>
      <c r="C1105" s="199"/>
      <c r="D1105" s="199"/>
      <c r="E1105" s="199"/>
      <c r="F1105" s="199"/>
      <c r="G1105" s="199"/>
      <c r="H1105" s="199"/>
      <c r="I1105" s="200"/>
    </row>
    <row r="1106" spans="1:9" ht="35.1" customHeight="1" thickBot="1" x14ac:dyDescent="0.35">
      <c r="A1106" s="201"/>
      <c r="B1106" s="202"/>
      <c r="C1106" s="202"/>
      <c r="D1106" s="202"/>
      <c r="E1106" s="202"/>
      <c r="F1106" s="202"/>
      <c r="G1106" s="202"/>
      <c r="H1106" s="202"/>
      <c r="I1106" s="203"/>
    </row>
    <row r="1107" spans="1:9" ht="30" customHeight="1" x14ac:dyDescent="0.3">
      <c r="A1107" s="84"/>
      <c r="B1107" s="85"/>
      <c r="C1107" s="85"/>
      <c r="D1107" s="121" t="s">
        <v>140</v>
      </c>
      <c r="E1107" s="86"/>
      <c r="F1107" s="86"/>
      <c r="G1107" s="204"/>
      <c r="H1107" s="204"/>
      <c r="I1107" s="205"/>
    </row>
    <row r="1108" spans="1:9" ht="30" customHeight="1" x14ac:dyDescent="0.3">
      <c r="A1108" s="84"/>
      <c r="D1108" s="121" t="s">
        <v>16</v>
      </c>
      <c r="E1108" s="86"/>
      <c r="F1108" s="86"/>
      <c r="G1108" s="206"/>
      <c r="H1108" s="206"/>
      <c r="I1108" s="207"/>
    </row>
    <row r="1109" spans="1:9" ht="15" customHeight="1" x14ac:dyDescent="0.3">
      <c r="A1109" s="84"/>
      <c r="F1109" s="208" t="str">
        <f>A1086</f>
        <v>APS Hazro</v>
      </c>
      <c r="G1109" s="208"/>
      <c r="H1109" s="208"/>
      <c r="I1109" s="209"/>
    </row>
    <row r="1110" spans="1:9" ht="15" customHeight="1" thickBot="1" x14ac:dyDescent="0.35">
      <c r="A1110" s="210"/>
      <c r="B1110" s="211"/>
      <c r="C1110" s="211"/>
      <c r="D1110" s="211"/>
      <c r="E1110" s="211"/>
      <c r="F1110" s="211"/>
      <c r="G1110" s="211"/>
      <c r="H1110" s="211"/>
      <c r="I1110" s="212"/>
    </row>
    <row r="1111" spans="1:9" ht="15" customHeight="1" x14ac:dyDescent="0.3">
      <c r="A1111" s="213"/>
      <c r="B1111" s="214"/>
      <c r="C1111" s="214"/>
      <c r="D1111" s="214"/>
      <c r="E1111" s="214"/>
      <c r="F1111" s="214"/>
      <c r="G1111" s="214"/>
      <c r="H1111" s="214"/>
      <c r="I1111" s="215"/>
    </row>
    <row r="1112" spans="1:9" ht="21" customHeight="1" x14ac:dyDescent="0.35">
      <c r="A1112" s="87" t="s">
        <v>17</v>
      </c>
      <c r="B1112" s="105">
        <f>H1090</f>
        <v>32</v>
      </c>
      <c r="C1112" s="88"/>
      <c r="D1112" s="89" t="s">
        <v>3</v>
      </c>
      <c r="E1112" s="89" t="str">
        <f>E1090</f>
        <v>7TH</v>
      </c>
      <c r="F1112" s="90" t="s">
        <v>18</v>
      </c>
      <c r="G1112" s="216" t="str">
        <f>E1103</f>
        <v>E</v>
      </c>
      <c r="H1112" s="216"/>
      <c r="I1112" s="217"/>
    </row>
    <row r="1113" spans="1:9" ht="30" customHeight="1" x14ac:dyDescent="0.3">
      <c r="A1113" s="176" t="s">
        <v>210</v>
      </c>
      <c r="B1113" s="177"/>
      <c r="C1113" s="218"/>
      <c r="D1113" s="218"/>
      <c r="E1113" s="187" t="s">
        <v>19</v>
      </c>
      <c r="F1113" s="187"/>
      <c r="G1113" s="219">
        <f>'FM-2'!G34</f>
        <v>3005327978</v>
      </c>
      <c r="H1113" s="219"/>
      <c r="I1113" s="220"/>
    </row>
    <row r="1114" spans="1:9" ht="30" customHeight="1" x14ac:dyDescent="0.3">
      <c r="A1114" s="176" t="s">
        <v>20</v>
      </c>
      <c r="B1114" s="177"/>
      <c r="C1114" s="178"/>
      <c r="D1114" s="178"/>
      <c r="E1114" s="178"/>
      <c r="F1114" s="178"/>
      <c r="G1114" s="178"/>
      <c r="H1114" s="178"/>
      <c r="I1114" s="179"/>
    </row>
    <row r="1115" spans="1:9" ht="30" customHeight="1" x14ac:dyDescent="0.3">
      <c r="A1115" s="180"/>
      <c r="B1115" s="181"/>
      <c r="C1115" s="181"/>
      <c r="D1115" s="181"/>
      <c r="E1115" s="181"/>
      <c r="F1115" s="181"/>
      <c r="G1115" s="181"/>
      <c r="H1115" s="181"/>
      <c r="I1115" s="182"/>
    </row>
    <row r="1116" spans="1:9" ht="21" customHeight="1" x14ac:dyDescent="0.3">
      <c r="A1116" s="183"/>
      <c r="B1116" s="184"/>
      <c r="C1116" s="184"/>
      <c r="D1116" s="184"/>
      <c r="E1116" s="184"/>
      <c r="F1116" s="184"/>
      <c r="G1116" s="184"/>
      <c r="H1116" s="184"/>
      <c r="I1116" s="185"/>
    </row>
    <row r="1117" spans="1:9" ht="21" customHeight="1" x14ac:dyDescent="0.3">
      <c r="A1117" s="91" t="s">
        <v>207</v>
      </c>
      <c r="B1117" s="186">
        <f ca="1">TODAY()</f>
        <v>46315</v>
      </c>
      <c r="C1117" s="186"/>
      <c r="D1117" s="187" t="s">
        <v>141</v>
      </c>
      <c r="E1117" s="187"/>
      <c r="F1117" s="187"/>
      <c r="G1117" s="188"/>
      <c r="H1117" s="188"/>
      <c r="I1117" s="189"/>
    </row>
    <row r="1118" spans="1:9" ht="21" customHeight="1" x14ac:dyDescent="0.3">
      <c r="A1118" s="190" t="s">
        <v>211</v>
      </c>
      <c r="B1118" s="191"/>
      <c r="C1118" s="191"/>
      <c r="D1118" s="191"/>
      <c r="E1118" s="191"/>
      <c r="F1118" s="191"/>
      <c r="G1118" s="191"/>
      <c r="H1118" s="191"/>
      <c r="I1118" s="192"/>
    </row>
    <row r="1119" spans="1:9" ht="15" customHeight="1" x14ac:dyDescent="0.3">
      <c r="A1119" s="190"/>
      <c r="B1119" s="191"/>
      <c r="C1119" s="191"/>
      <c r="D1119" s="191"/>
      <c r="E1119" s="191"/>
      <c r="F1119" s="191"/>
      <c r="G1119" s="191"/>
      <c r="H1119" s="191"/>
      <c r="I1119" s="192"/>
    </row>
    <row r="1120" spans="1:9" ht="15" thickBot="1" x14ac:dyDescent="0.35">
      <c r="A1120" s="193"/>
      <c r="B1120" s="194"/>
      <c r="C1120" s="194"/>
      <c r="D1120" s="194"/>
      <c r="E1120" s="194"/>
      <c r="F1120" s="194"/>
      <c r="G1120" s="194"/>
      <c r="H1120" s="194"/>
      <c r="I1120" s="195"/>
    </row>
    <row r="1121" spans="1:9" ht="41.1" customHeight="1" thickBot="1" x14ac:dyDescent="0.35">
      <c r="A1121" s="240" t="str">
        <f>'FM-2'!$I$3</f>
        <v>APS Hazro</v>
      </c>
      <c r="B1121" s="241"/>
      <c r="C1121" s="241"/>
      <c r="D1121" s="241"/>
      <c r="E1121" s="241"/>
      <c r="F1121" s="241"/>
      <c r="G1121" s="241"/>
      <c r="H1121" s="241"/>
      <c r="I1121" s="242"/>
    </row>
    <row r="1122" spans="1:9" ht="21" customHeight="1" thickBot="1" x14ac:dyDescent="0.4">
      <c r="A1122" s="129" t="str">
        <f>'FM-2'!$J$3</f>
        <v>ANNUAL EXAM 2024</v>
      </c>
      <c r="B1122" s="67"/>
      <c r="C1122" s="67"/>
      <c r="D1122" s="67"/>
      <c r="E1122" s="67"/>
      <c r="F1122" s="67"/>
      <c r="G1122" s="67"/>
      <c r="H1122" s="67"/>
      <c r="I1122" s="68"/>
    </row>
    <row r="1123" spans="1:9" ht="21" customHeight="1" x14ac:dyDescent="0.35">
      <c r="A1123" s="122"/>
      <c r="B1123" s="123"/>
      <c r="C1123" s="123"/>
      <c r="D1123" s="123"/>
      <c r="E1123" s="123"/>
      <c r="F1123" s="123"/>
      <c r="G1123" s="123"/>
      <c r="H1123" s="123"/>
      <c r="I1123" s="124"/>
    </row>
    <row r="1124" spans="1:9" ht="21" customHeight="1" x14ac:dyDescent="0.3">
      <c r="A1124" s="221" t="s">
        <v>0</v>
      </c>
      <c r="B1124" s="222"/>
      <c r="C1124" s="98" t="str">
        <f>'FM-2'!E35</f>
        <v>Ali33</v>
      </c>
      <c r="D1124" s="98"/>
      <c r="E1124" s="98"/>
      <c r="F1124" s="222" t="s">
        <v>1</v>
      </c>
      <c r="G1124" s="222"/>
      <c r="H1124" s="223" t="str">
        <f>'FM-2'!F35</f>
        <v>Khan 33</v>
      </c>
      <c r="I1124" s="224"/>
    </row>
    <row r="1125" spans="1:9" ht="21" customHeight="1" x14ac:dyDescent="0.3">
      <c r="A1125" s="221" t="s">
        <v>2</v>
      </c>
      <c r="B1125" s="222"/>
      <c r="C1125" s="92">
        <f>'FM-2'!C35</f>
        <v>1032</v>
      </c>
      <c r="D1125" s="93" t="s">
        <v>3</v>
      </c>
      <c r="E1125" s="92" t="str">
        <f>'FM-2'!$B$3</f>
        <v>7TH</v>
      </c>
      <c r="F1125" s="222" t="s">
        <v>4</v>
      </c>
      <c r="G1125" s="222"/>
      <c r="H1125" s="225">
        <f>'FM-2'!D35</f>
        <v>33</v>
      </c>
      <c r="I1125" s="226"/>
    </row>
    <row r="1126" spans="1:9" ht="21" customHeight="1" thickBot="1" x14ac:dyDescent="0.35">
      <c r="A1126" s="227" t="s">
        <v>206</v>
      </c>
      <c r="B1126" s="228"/>
      <c r="C1126" s="94">
        <f>COUNTIF('Marks Input'!$B$4:$B$63,"&gt;0")</f>
        <v>34</v>
      </c>
      <c r="D1126" s="93"/>
      <c r="E1126" s="95"/>
      <c r="F1126" s="93"/>
      <c r="G1126" s="93"/>
      <c r="H1126" s="96"/>
      <c r="I1126" s="97"/>
    </row>
    <row r="1127" spans="1:9" ht="15.75" customHeight="1" thickBot="1" x14ac:dyDescent="0.35">
      <c r="A1127" s="229" t="s">
        <v>5</v>
      </c>
      <c r="B1127" s="231" t="s">
        <v>6</v>
      </c>
      <c r="C1127" s="233" t="s">
        <v>7</v>
      </c>
      <c r="D1127" s="235" t="s">
        <v>209</v>
      </c>
      <c r="E1127" s="229" t="s">
        <v>8</v>
      </c>
      <c r="F1127" s="237" t="s">
        <v>9</v>
      </c>
      <c r="G1127" s="238"/>
      <c r="H1127" s="238"/>
      <c r="I1127" s="239"/>
    </row>
    <row r="1128" spans="1:9" ht="30" customHeight="1" thickBot="1" x14ac:dyDescent="0.35">
      <c r="A1128" s="230"/>
      <c r="B1128" s="232"/>
      <c r="C1128" s="234"/>
      <c r="D1128" s="236"/>
      <c r="E1128" s="230"/>
      <c r="F1128" s="125" t="s">
        <v>10</v>
      </c>
      <c r="G1128" s="126" t="s">
        <v>11</v>
      </c>
      <c r="H1128" s="127" t="s">
        <v>12</v>
      </c>
      <c r="I1128" s="128" t="s">
        <v>208</v>
      </c>
    </row>
    <row r="1129" spans="1:9" ht="15" customHeight="1" thickBot="1" x14ac:dyDescent="0.35">
      <c r="A1129" s="118" t="str">
        <f>'Marks Input'!$G$2</f>
        <v>Urdu</v>
      </c>
      <c r="B1129" s="106">
        <f>'Marks Input'!$G$3</f>
        <v>100</v>
      </c>
      <c r="C1129" s="99">
        <f>'FM-2'!K35</f>
        <v>62</v>
      </c>
      <c r="D1129" s="107">
        <f>C1129/B1129</f>
        <v>0.62</v>
      </c>
      <c r="E1129" s="79" t="str">
        <f>IF(D1129&gt;0.899,"A+",IF(D1129&gt;0.799,"A",IF(D1129&gt;0.699,"B",IF(D1129&gt;0.599,"C",IF(D1129&gt;0.499,"D",IF(D1129&gt;0.399,"E","F"))))))</f>
        <v>C</v>
      </c>
      <c r="F1129" s="100">
        <f>MAX('Marks Input'!$G$4:$G$37)</f>
        <v>72</v>
      </c>
      <c r="G1129" s="101">
        <f>MIN('Marks Input'!$G$4:$G$37)</f>
        <v>40</v>
      </c>
      <c r="H1129" s="108">
        <f>'Marks Input'!$G$40</f>
        <v>62.59</v>
      </c>
      <c r="I1129" s="76">
        <f>'FM-2'!V35</f>
        <v>25</v>
      </c>
    </row>
    <row r="1130" spans="1:9" ht="15" customHeight="1" thickBot="1" x14ac:dyDescent="0.35">
      <c r="A1130" s="119" t="str">
        <f>'Marks Input'!$H$2</f>
        <v>English</v>
      </c>
      <c r="B1130" s="109">
        <f>'Marks Input'!$H$3</f>
        <v>100</v>
      </c>
      <c r="C1130" s="102">
        <f>'FM-2'!L35</f>
        <v>33</v>
      </c>
      <c r="D1130" s="110">
        <f>C1130/B1130</f>
        <v>0.33</v>
      </c>
      <c r="E1130" s="79" t="str">
        <f t="shared" ref="E1130:E1138" si="95">IF(D1130&gt;0.899,"A+",IF(D1130&gt;0.799,"A",IF(D1130&gt;0.699,"B",IF(D1130&gt;0.599,"C",IF(D1130&gt;0.499,"D",IF(D1130&gt;0.399,"E","F"))))))</f>
        <v>F</v>
      </c>
      <c r="F1130" s="103">
        <f>MAX('Marks Input'!$H$4:$H$37)</f>
        <v>74</v>
      </c>
      <c r="G1130" s="104">
        <f>MIN('Marks Input'!$H$4:$H$37)</f>
        <v>30</v>
      </c>
      <c r="H1130" s="111">
        <f>'Marks Input'!$H$40</f>
        <v>43.26</v>
      </c>
      <c r="I1130" s="77">
        <f>'FM-2'!W35</f>
        <v>19</v>
      </c>
    </row>
    <row r="1131" spans="1:9" ht="15" customHeight="1" thickBot="1" x14ac:dyDescent="0.35">
      <c r="A1131" s="119" t="str">
        <f>'Marks Input'!$I$2</f>
        <v>Islamiyat</v>
      </c>
      <c r="B1131" s="109">
        <f>'Marks Input'!$I$3</f>
        <v>100</v>
      </c>
      <c r="C1131" s="102">
        <f>'FM-2'!M35</f>
        <v>46</v>
      </c>
      <c r="D1131" s="110">
        <f t="shared" ref="D1131:D1136" si="96">C1131/B1131</f>
        <v>0.46</v>
      </c>
      <c r="E1131" s="79" t="str">
        <f t="shared" si="95"/>
        <v>E</v>
      </c>
      <c r="F1131" s="103">
        <f>MAX('Marks Input'!$I$4:$I$37)</f>
        <v>88</v>
      </c>
      <c r="G1131" s="104">
        <f>MIN('Marks Input'!$I$4:$I$37)</f>
        <v>34</v>
      </c>
      <c r="H1131" s="111">
        <f>'Marks Input'!$I$40</f>
        <v>48.29</v>
      </c>
      <c r="I1131" s="77">
        <f>'FM-2'!X35</f>
        <v>16</v>
      </c>
    </row>
    <row r="1132" spans="1:9" ht="15" customHeight="1" thickBot="1" x14ac:dyDescent="0.35">
      <c r="A1132" s="119" t="str">
        <f>'Marks Input'!$J$2</f>
        <v>Pak Studies</v>
      </c>
      <c r="B1132" s="109">
        <f>'Marks Input'!$J$3</f>
        <v>100</v>
      </c>
      <c r="C1132" s="102">
        <f>'FM-2'!N35</f>
        <v>58</v>
      </c>
      <c r="D1132" s="110">
        <f t="shared" si="96"/>
        <v>0.57999999999999996</v>
      </c>
      <c r="E1132" s="79" t="str">
        <f t="shared" si="95"/>
        <v>D</v>
      </c>
      <c r="F1132" s="103">
        <f>MAX('Marks Input'!$J$4:$J$37)</f>
        <v>96</v>
      </c>
      <c r="G1132" s="104">
        <f>MIN('Marks Input'!$J$4:$J$37)</f>
        <v>34</v>
      </c>
      <c r="H1132" s="111">
        <f>'Marks Input'!$J$40</f>
        <v>71.03</v>
      </c>
      <c r="I1132" s="77">
        <f>'FM-2'!Y35</f>
        <v>14</v>
      </c>
    </row>
    <row r="1133" spans="1:9" ht="15" customHeight="1" thickBot="1" x14ac:dyDescent="0.35">
      <c r="A1133" s="119" t="str">
        <f>'Marks Input'!$K$2</f>
        <v>Maths</v>
      </c>
      <c r="B1133" s="109">
        <f>'Marks Input'!$K$3</f>
        <v>100</v>
      </c>
      <c r="C1133" s="102">
        <f>'FM-2'!O35</f>
        <v>50</v>
      </c>
      <c r="D1133" s="110">
        <f t="shared" si="96"/>
        <v>0.5</v>
      </c>
      <c r="E1133" s="79" t="str">
        <f t="shared" si="95"/>
        <v>D</v>
      </c>
      <c r="F1133" s="103">
        <f>MAX('Marks Input'!$K$4:$K$37)</f>
        <v>94</v>
      </c>
      <c r="G1133" s="104">
        <f>MIN('Marks Input'!$K$4:$K$37)</f>
        <v>57</v>
      </c>
      <c r="H1133" s="111">
        <f>'Marks Input'!$K$40</f>
        <v>75.819999999999993</v>
      </c>
      <c r="I1133" s="77">
        <f>'FM-2'!Z35</f>
        <v>12</v>
      </c>
    </row>
    <row r="1134" spans="1:9" ht="15" customHeight="1" thickBot="1" x14ac:dyDescent="0.35">
      <c r="A1134" s="119" t="str">
        <f>'Marks Input'!$L$2</f>
        <v>Sci./ Che.</v>
      </c>
      <c r="B1134" s="109">
        <f>'Marks Input'!$L$3</f>
        <v>100</v>
      </c>
      <c r="C1134" s="102">
        <f>'FM-2'!P35</f>
        <v>69</v>
      </c>
      <c r="D1134" s="110">
        <f t="shared" si="96"/>
        <v>0.69</v>
      </c>
      <c r="E1134" s="79" t="str">
        <f t="shared" si="95"/>
        <v>C</v>
      </c>
      <c r="F1134" s="103">
        <f>MAX('Marks Input'!$L$4:$L$37)</f>
        <v>98</v>
      </c>
      <c r="G1134" s="104">
        <f>MIN('Marks Input'!$L$4:$L$37)</f>
        <v>40</v>
      </c>
      <c r="H1134" s="111">
        <f>'Marks Input'!$L$40</f>
        <v>61.09</v>
      </c>
      <c r="I1134" s="77">
        <f>'FM-2'!AA35</f>
        <v>22</v>
      </c>
    </row>
    <row r="1135" spans="1:9" ht="15" customHeight="1" thickBot="1" x14ac:dyDescent="0.35">
      <c r="A1135" s="119" t="str">
        <f>'Marks Input'!$M$2</f>
        <v>Nazra</v>
      </c>
      <c r="B1135" s="109">
        <f>'Marks Input'!$M$3</f>
        <v>100</v>
      </c>
      <c r="C1135" s="102">
        <f>'FM-2'!Q35</f>
        <v>60</v>
      </c>
      <c r="D1135" s="110">
        <f t="shared" si="96"/>
        <v>0.6</v>
      </c>
      <c r="E1135" s="79" t="str">
        <f t="shared" si="95"/>
        <v>C</v>
      </c>
      <c r="F1135" s="103">
        <f>MAX('Marks Input'!$M$4:$M$37)</f>
        <v>94</v>
      </c>
      <c r="G1135" s="104">
        <f>MIN('Marks Input'!$M$4:$M$37)</f>
        <v>32</v>
      </c>
      <c r="H1135" s="111">
        <f>'Marks Input'!$M$40</f>
        <v>57.79</v>
      </c>
      <c r="I1135" s="77">
        <f>'FM-2'!AB35</f>
        <v>14</v>
      </c>
    </row>
    <row r="1136" spans="1:9" ht="15" customHeight="1" thickBot="1" x14ac:dyDescent="0.35">
      <c r="A1136" s="119" t="str">
        <f>'Marks Input'!$N$2</f>
        <v>Physics</v>
      </c>
      <c r="B1136" s="109">
        <f>'Marks Input'!$N$3</f>
        <v>100</v>
      </c>
      <c r="C1136" s="102">
        <f>'FM-2'!R35</f>
        <v>78</v>
      </c>
      <c r="D1136" s="110">
        <f t="shared" si="96"/>
        <v>0.78</v>
      </c>
      <c r="E1136" s="79" t="str">
        <f t="shared" si="95"/>
        <v>B</v>
      </c>
      <c r="F1136" s="103">
        <f>MAX('Marks Input'!$N$4:$N$37)</f>
        <v>60</v>
      </c>
      <c r="G1136" s="104">
        <f>MIN('Marks Input'!$N$4:$N$37)</f>
        <v>18</v>
      </c>
      <c r="H1136" s="111">
        <f>'Marks Input'!$N$40</f>
        <v>42.94</v>
      </c>
      <c r="I1136" s="77">
        <f>'FM-2'!AC35</f>
        <v>9</v>
      </c>
    </row>
    <row r="1137" spans="1:9" ht="15" customHeight="1" thickBot="1" x14ac:dyDescent="0.35">
      <c r="A1137" s="120" t="str">
        <f>'Marks Input'!$O$2</f>
        <v>Bio./Comp.</v>
      </c>
      <c r="B1137" s="112">
        <f>'Marks Input'!$O$3</f>
        <v>100</v>
      </c>
      <c r="C1137" s="113">
        <f>'FM-2'!S35</f>
        <v>60</v>
      </c>
      <c r="D1137" s="114">
        <f>C1137/B1137</f>
        <v>0.6</v>
      </c>
      <c r="E1137" s="80" t="str">
        <f t="shared" si="95"/>
        <v>C</v>
      </c>
      <c r="F1137" s="115">
        <f>MAX('Marks Input'!$O$4:$O$37)</f>
        <v>40</v>
      </c>
      <c r="G1137" s="116">
        <f>MIN('Marks Input'!$O$4:$O$37)</f>
        <v>14</v>
      </c>
      <c r="H1137" s="117">
        <f>'Marks Input'!$O$40</f>
        <v>30.44</v>
      </c>
      <c r="I1137" s="78">
        <f>'FM-2'!AD35</f>
        <v>14</v>
      </c>
    </row>
    <row r="1138" spans="1:9" ht="21" customHeight="1" thickBot="1" x14ac:dyDescent="0.45">
      <c r="A1138" s="69" t="s">
        <v>14</v>
      </c>
      <c r="B1138" s="70">
        <f>'Marks Input'!$P$3</f>
        <v>900</v>
      </c>
      <c r="C1138" s="71">
        <f>'FM-2'!U35</f>
        <v>484</v>
      </c>
      <c r="D1138" s="72">
        <f t="shared" ref="D1138" si="97">C1138/B1138</f>
        <v>0.5377777777777778</v>
      </c>
      <c r="E1138" s="73" t="str">
        <f t="shared" si="95"/>
        <v>D</v>
      </c>
      <c r="F1138" s="70">
        <f>MAX('Marks Input'!$P$4:$P$37)</f>
        <v>673</v>
      </c>
      <c r="G1138" s="71">
        <f>MIN('Marks Input'!$P$4:$P$37)</f>
        <v>322</v>
      </c>
      <c r="H1138" s="74">
        <f>'Marks Input'!$P$40</f>
        <v>493.26</v>
      </c>
      <c r="I1138" s="75">
        <f>'FM-2'!AF35</f>
        <v>21</v>
      </c>
    </row>
    <row r="1139" spans="1:9" ht="21" customHeight="1" thickBot="1" x14ac:dyDescent="0.35">
      <c r="A1139" s="196" t="s">
        <v>15</v>
      </c>
      <c r="B1139" s="197"/>
      <c r="C1139" s="197"/>
      <c r="H1139" s="82"/>
      <c r="I1139" s="83"/>
    </row>
    <row r="1140" spans="1:9" ht="35.1" customHeight="1" x14ac:dyDescent="0.3">
      <c r="A1140" s="198" t="str">
        <f>IF(D1138&gt;0.399,"Promoted Successfully","Not Promoted")</f>
        <v>Promoted Successfully</v>
      </c>
      <c r="B1140" s="199"/>
      <c r="C1140" s="199"/>
      <c r="D1140" s="199"/>
      <c r="E1140" s="199"/>
      <c r="F1140" s="199"/>
      <c r="G1140" s="199"/>
      <c r="H1140" s="199"/>
      <c r="I1140" s="200"/>
    </row>
    <row r="1141" spans="1:9" ht="35.1" customHeight="1" thickBot="1" x14ac:dyDescent="0.35">
      <c r="A1141" s="201"/>
      <c r="B1141" s="202"/>
      <c r="C1141" s="202"/>
      <c r="D1141" s="202"/>
      <c r="E1141" s="202"/>
      <c r="F1141" s="202"/>
      <c r="G1141" s="202"/>
      <c r="H1141" s="202"/>
      <c r="I1141" s="203"/>
    </row>
    <row r="1142" spans="1:9" ht="30" customHeight="1" x14ac:dyDescent="0.3">
      <c r="A1142" s="84"/>
      <c r="B1142" s="85"/>
      <c r="C1142" s="85"/>
      <c r="D1142" s="121" t="s">
        <v>140</v>
      </c>
      <c r="E1142" s="86"/>
      <c r="F1142" s="86"/>
      <c r="G1142" s="204"/>
      <c r="H1142" s="204"/>
      <c r="I1142" s="205"/>
    </row>
    <row r="1143" spans="1:9" ht="30" customHeight="1" x14ac:dyDescent="0.3">
      <c r="A1143" s="84"/>
      <c r="D1143" s="121" t="s">
        <v>16</v>
      </c>
      <c r="E1143" s="86"/>
      <c r="F1143" s="86"/>
      <c r="G1143" s="206"/>
      <c r="H1143" s="206"/>
      <c r="I1143" s="207"/>
    </row>
    <row r="1144" spans="1:9" ht="15" customHeight="1" x14ac:dyDescent="0.3">
      <c r="A1144" s="84"/>
      <c r="F1144" s="208" t="str">
        <f>A1121</f>
        <v>APS Hazro</v>
      </c>
      <c r="G1144" s="208"/>
      <c r="H1144" s="208"/>
      <c r="I1144" s="209"/>
    </row>
    <row r="1145" spans="1:9" ht="15" customHeight="1" thickBot="1" x14ac:dyDescent="0.35">
      <c r="A1145" s="210"/>
      <c r="B1145" s="211"/>
      <c r="C1145" s="211"/>
      <c r="D1145" s="211"/>
      <c r="E1145" s="211"/>
      <c r="F1145" s="211"/>
      <c r="G1145" s="211"/>
      <c r="H1145" s="211"/>
      <c r="I1145" s="212"/>
    </row>
    <row r="1146" spans="1:9" ht="15" customHeight="1" x14ac:dyDescent="0.3">
      <c r="A1146" s="213"/>
      <c r="B1146" s="214"/>
      <c r="C1146" s="214"/>
      <c r="D1146" s="214"/>
      <c r="E1146" s="214"/>
      <c r="F1146" s="214"/>
      <c r="G1146" s="214"/>
      <c r="H1146" s="214"/>
      <c r="I1146" s="215"/>
    </row>
    <row r="1147" spans="1:9" ht="21" customHeight="1" x14ac:dyDescent="0.35">
      <c r="A1147" s="87" t="s">
        <v>17</v>
      </c>
      <c r="B1147" s="105">
        <f>H1125</f>
        <v>33</v>
      </c>
      <c r="C1147" s="88"/>
      <c r="D1147" s="89" t="s">
        <v>3</v>
      </c>
      <c r="E1147" s="89" t="str">
        <f>E1125</f>
        <v>7TH</v>
      </c>
      <c r="F1147" s="90" t="s">
        <v>18</v>
      </c>
      <c r="G1147" s="216" t="str">
        <f>E1138</f>
        <v>D</v>
      </c>
      <c r="H1147" s="216"/>
      <c r="I1147" s="217"/>
    </row>
    <row r="1148" spans="1:9" ht="30" customHeight="1" x14ac:dyDescent="0.3">
      <c r="A1148" s="176" t="s">
        <v>210</v>
      </c>
      <c r="B1148" s="177"/>
      <c r="C1148" s="218"/>
      <c r="D1148" s="218"/>
      <c r="E1148" s="187" t="s">
        <v>19</v>
      </c>
      <c r="F1148" s="187"/>
      <c r="G1148" s="219">
        <f>'FM-2'!G35</f>
        <v>3005328019</v>
      </c>
      <c r="H1148" s="219"/>
      <c r="I1148" s="220"/>
    </row>
    <row r="1149" spans="1:9" ht="30" customHeight="1" x14ac:dyDescent="0.3">
      <c r="A1149" s="176" t="s">
        <v>20</v>
      </c>
      <c r="B1149" s="177"/>
      <c r="C1149" s="178"/>
      <c r="D1149" s="178"/>
      <c r="E1149" s="178"/>
      <c r="F1149" s="178"/>
      <c r="G1149" s="178"/>
      <c r="H1149" s="178"/>
      <c r="I1149" s="179"/>
    </row>
    <row r="1150" spans="1:9" ht="30" customHeight="1" x14ac:dyDescent="0.3">
      <c r="A1150" s="180"/>
      <c r="B1150" s="181"/>
      <c r="C1150" s="181"/>
      <c r="D1150" s="181"/>
      <c r="E1150" s="181"/>
      <c r="F1150" s="181"/>
      <c r="G1150" s="181"/>
      <c r="H1150" s="181"/>
      <c r="I1150" s="182"/>
    </row>
    <row r="1151" spans="1:9" ht="21" customHeight="1" x14ac:dyDescent="0.3">
      <c r="A1151" s="183"/>
      <c r="B1151" s="184"/>
      <c r="C1151" s="184"/>
      <c r="D1151" s="184"/>
      <c r="E1151" s="184"/>
      <c r="F1151" s="184"/>
      <c r="G1151" s="184"/>
      <c r="H1151" s="184"/>
      <c r="I1151" s="185"/>
    </row>
    <row r="1152" spans="1:9" ht="21" customHeight="1" x14ac:dyDescent="0.3">
      <c r="A1152" s="91" t="s">
        <v>207</v>
      </c>
      <c r="B1152" s="186">
        <f ca="1">TODAY()</f>
        <v>46315</v>
      </c>
      <c r="C1152" s="186"/>
      <c r="D1152" s="187" t="s">
        <v>141</v>
      </c>
      <c r="E1152" s="187"/>
      <c r="F1152" s="187"/>
      <c r="G1152" s="188"/>
      <c r="H1152" s="188"/>
      <c r="I1152" s="189"/>
    </row>
    <row r="1153" spans="1:9" ht="21" customHeight="1" x14ac:dyDescent="0.3">
      <c r="A1153" s="190" t="s">
        <v>211</v>
      </c>
      <c r="B1153" s="191"/>
      <c r="C1153" s="191"/>
      <c r="D1153" s="191"/>
      <c r="E1153" s="191"/>
      <c r="F1153" s="191"/>
      <c r="G1153" s="191"/>
      <c r="H1153" s="191"/>
      <c r="I1153" s="192"/>
    </row>
    <row r="1154" spans="1:9" ht="15" customHeight="1" x14ac:dyDescent="0.3">
      <c r="A1154" s="190"/>
      <c r="B1154" s="191"/>
      <c r="C1154" s="191"/>
      <c r="D1154" s="191"/>
      <c r="E1154" s="191"/>
      <c r="F1154" s="191"/>
      <c r="G1154" s="191"/>
      <c r="H1154" s="191"/>
      <c r="I1154" s="192"/>
    </row>
    <row r="1155" spans="1:9" ht="15" thickBot="1" x14ac:dyDescent="0.35">
      <c r="A1155" s="193"/>
      <c r="B1155" s="194"/>
      <c r="C1155" s="194"/>
      <c r="D1155" s="194"/>
      <c r="E1155" s="194"/>
      <c r="F1155" s="194"/>
      <c r="G1155" s="194"/>
      <c r="H1155" s="194"/>
      <c r="I1155" s="195"/>
    </row>
  </sheetData>
  <sheetProtection selectLockedCells="1" selectUnlockedCells="1"/>
  <mergeCells count="1123">
    <mergeCell ref="A706:B706"/>
    <mergeCell ref="A707:A708"/>
    <mergeCell ref="B707:B708"/>
    <mergeCell ref="C707:C708"/>
    <mergeCell ref="D707:D708"/>
    <mergeCell ref="E707:E708"/>
    <mergeCell ref="F707:I707"/>
    <mergeCell ref="A33:I35"/>
    <mergeCell ref="A36:I36"/>
    <mergeCell ref="A729:B729"/>
    <mergeCell ref="C729:I729"/>
    <mergeCell ref="A730:I730"/>
    <mergeCell ref="A731:I731"/>
    <mergeCell ref="B732:C732"/>
    <mergeCell ref="D732:F732"/>
    <mergeCell ref="G732:I732"/>
    <mergeCell ref="A719:C719"/>
    <mergeCell ref="A720:I721"/>
    <mergeCell ref="G722:I722"/>
    <mergeCell ref="G723:I723"/>
    <mergeCell ref="F724:I724"/>
    <mergeCell ref="A725:I725"/>
    <mergeCell ref="A726:I726"/>
    <mergeCell ref="G727:I727"/>
    <mergeCell ref="A728:B728"/>
    <mergeCell ref="C728:D728"/>
    <mergeCell ref="E728:F728"/>
    <mergeCell ref="G728:I728"/>
    <mergeCell ref="A704:B704"/>
    <mergeCell ref="F704:G704"/>
    <mergeCell ref="H704:I704"/>
    <mergeCell ref="F689:I689"/>
    <mergeCell ref="A690:I690"/>
    <mergeCell ref="A691:I691"/>
    <mergeCell ref="G692:I692"/>
    <mergeCell ref="A693:B693"/>
    <mergeCell ref="C693:D693"/>
    <mergeCell ref="E693:F693"/>
    <mergeCell ref="G693:I693"/>
    <mergeCell ref="A694:B694"/>
    <mergeCell ref="C694:I694"/>
    <mergeCell ref="A695:I695"/>
    <mergeCell ref="A696:I696"/>
    <mergeCell ref="B697:C697"/>
    <mergeCell ref="D697:F697"/>
    <mergeCell ref="G697:I697"/>
    <mergeCell ref="A701:I701"/>
    <mergeCell ref="A705:B705"/>
    <mergeCell ref="F705:G705"/>
    <mergeCell ref="H705:I705"/>
    <mergeCell ref="A669:B669"/>
    <mergeCell ref="F669:G669"/>
    <mergeCell ref="H669:I669"/>
    <mergeCell ref="A670:B670"/>
    <mergeCell ref="F670:G670"/>
    <mergeCell ref="H670:I670"/>
    <mergeCell ref="A671:B671"/>
    <mergeCell ref="A672:A673"/>
    <mergeCell ref="B672:B673"/>
    <mergeCell ref="C672:C673"/>
    <mergeCell ref="D672:D673"/>
    <mergeCell ref="E672:E673"/>
    <mergeCell ref="F672:I672"/>
    <mergeCell ref="A684:C684"/>
    <mergeCell ref="A685:I686"/>
    <mergeCell ref="G687:I687"/>
    <mergeCell ref="G688:I688"/>
    <mergeCell ref="G653:I653"/>
    <mergeCell ref="F654:I654"/>
    <mergeCell ref="A655:I655"/>
    <mergeCell ref="A656:I656"/>
    <mergeCell ref="G657:I657"/>
    <mergeCell ref="A658:B658"/>
    <mergeCell ref="C658:D658"/>
    <mergeCell ref="E658:F658"/>
    <mergeCell ref="G658:I658"/>
    <mergeCell ref="A659:B659"/>
    <mergeCell ref="C659:I659"/>
    <mergeCell ref="A660:I660"/>
    <mergeCell ref="A661:I661"/>
    <mergeCell ref="B662:C662"/>
    <mergeCell ref="D662:F662"/>
    <mergeCell ref="G662:I662"/>
    <mergeCell ref="A666:I666"/>
    <mergeCell ref="A631:I631"/>
    <mergeCell ref="A634:B634"/>
    <mergeCell ref="F634:G634"/>
    <mergeCell ref="H634:I634"/>
    <mergeCell ref="A635:B635"/>
    <mergeCell ref="F635:G635"/>
    <mergeCell ref="H635:I635"/>
    <mergeCell ref="A636:B636"/>
    <mergeCell ref="A637:A638"/>
    <mergeCell ref="B637:B638"/>
    <mergeCell ref="C637:C638"/>
    <mergeCell ref="D637:D638"/>
    <mergeCell ref="E637:E638"/>
    <mergeCell ref="F637:I637"/>
    <mergeCell ref="A649:C649"/>
    <mergeCell ref="A650:I651"/>
    <mergeCell ref="G652:I652"/>
    <mergeCell ref="A614:C614"/>
    <mergeCell ref="A615:I616"/>
    <mergeCell ref="G617:I617"/>
    <mergeCell ref="G618:I618"/>
    <mergeCell ref="F619:I619"/>
    <mergeCell ref="A620:I620"/>
    <mergeCell ref="A621:I621"/>
    <mergeCell ref="G622:I622"/>
    <mergeCell ref="A623:B623"/>
    <mergeCell ref="C623:D623"/>
    <mergeCell ref="E623:F623"/>
    <mergeCell ref="G623:I623"/>
    <mergeCell ref="A624:B624"/>
    <mergeCell ref="C624:I624"/>
    <mergeCell ref="A625:I625"/>
    <mergeCell ref="A626:I626"/>
    <mergeCell ref="B627:C627"/>
    <mergeCell ref="D627:F627"/>
    <mergeCell ref="G627:I627"/>
    <mergeCell ref="A589:B589"/>
    <mergeCell ref="C589:I589"/>
    <mergeCell ref="A590:I590"/>
    <mergeCell ref="A591:I591"/>
    <mergeCell ref="B592:C592"/>
    <mergeCell ref="D592:F592"/>
    <mergeCell ref="G592:I592"/>
    <mergeCell ref="A596:I596"/>
    <mergeCell ref="A599:B599"/>
    <mergeCell ref="F599:G599"/>
    <mergeCell ref="H599:I599"/>
    <mergeCell ref="A600:B600"/>
    <mergeCell ref="F600:G600"/>
    <mergeCell ref="H600:I600"/>
    <mergeCell ref="A601:B601"/>
    <mergeCell ref="A602:A603"/>
    <mergeCell ref="B602:B603"/>
    <mergeCell ref="C602:C603"/>
    <mergeCell ref="D602:D603"/>
    <mergeCell ref="E602:E603"/>
    <mergeCell ref="F602:I602"/>
    <mergeCell ref="A566:B566"/>
    <mergeCell ref="A567:A568"/>
    <mergeCell ref="B567:B568"/>
    <mergeCell ref="C567:C568"/>
    <mergeCell ref="D567:D568"/>
    <mergeCell ref="E567:E568"/>
    <mergeCell ref="F567:I567"/>
    <mergeCell ref="A579:C579"/>
    <mergeCell ref="A580:I581"/>
    <mergeCell ref="G582:I582"/>
    <mergeCell ref="G583:I583"/>
    <mergeCell ref="F584:I584"/>
    <mergeCell ref="A585:I585"/>
    <mergeCell ref="A586:I586"/>
    <mergeCell ref="G587:I587"/>
    <mergeCell ref="A588:B588"/>
    <mergeCell ref="C588:D588"/>
    <mergeCell ref="E588:F588"/>
    <mergeCell ref="G588:I588"/>
    <mergeCell ref="A486:I486"/>
    <mergeCell ref="B487:C487"/>
    <mergeCell ref="D487:F487"/>
    <mergeCell ref="G487:I487"/>
    <mergeCell ref="A176:I176"/>
    <mergeCell ref="A211:I211"/>
    <mergeCell ref="A481:I481"/>
    <mergeCell ref="G482:I482"/>
    <mergeCell ref="A483:B483"/>
    <mergeCell ref="C483:D483"/>
    <mergeCell ref="E483:F483"/>
    <mergeCell ref="G483:I483"/>
    <mergeCell ref="A561:I561"/>
    <mergeCell ref="A564:B564"/>
    <mergeCell ref="F564:G564"/>
    <mergeCell ref="H564:I564"/>
    <mergeCell ref="A565:B565"/>
    <mergeCell ref="F565:G565"/>
    <mergeCell ref="H565:I565"/>
    <mergeCell ref="A484:B484"/>
    <mergeCell ref="C484:I484"/>
    <mergeCell ref="A485:I485"/>
    <mergeCell ref="A460:B460"/>
    <mergeCell ref="F460:G460"/>
    <mergeCell ref="H460:I460"/>
    <mergeCell ref="A461:B461"/>
    <mergeCell ref="A462:A463"/>
    <mergeCell ref="B462:B463"/>
    <mergeCell ref="C462:C463"/>
    <mergeCell ref="D462:D463"/>
    <mergeCell ref="E462:E463"/>
    <mergeCell ref="F462:I462"/>
    <mergeCell ref="A474:C474"/>
    <mergeCell ref="A475:I476"/>
    <mergeCell ref="F479:I479"/>
    <mergeCell ref="G477:I477"/>
    <mergeCell ref="G478:I478"/>
    <mergeCell ref="A480:I480"/>
    <mergeCell ref="A451:I451"/>
    <mergeCell ref="B452:C452"/>
    <mergeCell ref="D452:F452"/>
    <mergeCell ref="G452:I452"/>
    <mergeCell ref="A456:I456"/>
    <mergeCell ref="A459:B459"/>
    <mergeCell ref="F459:G459"/>
    <mergeCell ref="H459:I459"/>
    <mergeCell ref="A426:B426"/>
    <mergeCell ref="A427:A428"/>
    <mergeCell ref="B427:B428"/>
    <mergeCell ref="C427:C428"/>
    <mergeCell ref="D427:D428"/>
    <mergeCell ref="E427:E428"/>
    <mergeCell ref="F427:I427"/>
    <mergeCell ref="A439:C439"/>
    <mergeCell ref="A440:I441"/>
    <mergeCell ref="A450:I450"/>
    <mergeCell ref="A449:B449"/>
    <mergeCell ref="C449:I449"/>
    <mergeCell ref="A446:I446"/>
    <mergeCell ref="A448:B448"/>
    <mergeCell ref="G447:I447"/>
    <mergeCell ref="C448:D448"/>
    <mergeCell ref="E448:F448"/>
    <mergeCell ref="G448:I448"/>
    <mergeCell ref="A216:B216"/>
    <mergeCell ref="G237:I237"/>
    <mergeCell ref="C238:D238"/>
    <mergeCell ref="E238:F238"/>
    <mergeCell ref="C239:I239"/>
    <mergeCell ref="G238:I238"/>
    <mergeCell ref="G233:I233"/>
    <mergeCell ref="A235:I235"/>
    <mergeCell ref="A236:I236"/>
    <mergeCell ref="A319:B319"/>
    <mergeCell ref="A1:I1"/>
    <mergeCell ref="G28:I28"/>
    <mergeCell ref="A421:I421"/>
    <mergeCell ref="A424:B424"/>
    <mergeCell ref="F424:G424"/>
    <mergeCell ref="H424:I424"/>
    <mergeCell ref="A425:B425"/>
    <mergeCell ref="F425:G425"/>
    <mergeCell ref="H425:I425"/>
    <mergeCell ref="F390:G390"/>
    <mergeCell ref="H390:I390"/>
    <mergeCell ref="A391:B391"/>
    <mergeCell ref="A392:A393"/>
    <mergeCell ref="B392:B393"/>
    <mergeCell ref="C392:C393"/>
    <mergeCell ref="D392:D393"/>
    <mergeCell ref="E392:E393"/>
    <mergeCell ref="F392:I392"/>
    <mergeCell ref="A39:B39"/>
    <mergeCell ref="F39:G39"/>
    <mergeCell ref="H39:I39"/>
    <mergeCell ref="A40:B40"/>
    <mergeCell ref="G162:I162"/>
    <mergeCell ref="D137:F137"/>
    <mergeCell ref="A144:B144"/>
    <mergeCell ref="F40:G40"/>
    <mergeCell ref="H40:I40"/>
    <mergeCell ref="A41:B41"/>
    <mergeCell ref="A42:A43"/>
    <mergeCell ref="B42:B43"/>
    <mergeCell ref="E42:E43"/>
    <mergeCell ref="F42:I42"/>
    <mergeCell ref="C42:C43"/>
    <mergeCell ref="D42:D43"/>
    <mergeCell ref="A214:B214"/>
    <mergeCell ref="A215:B215"/>
    <mergeCell ref="F215:G215"/>
    <mergeCell ref="H215:I215"/>
    <mergeCell ref="A29:B29"/>
    <mergeCell ref="D32:F32"/>
    <mergeCell ref="G32:I32"/>
    <mergeCell ref="B32:C32"/>
    <mergeCell ref="C29:I29"/>
    <mergeCell ref="A30:I30"/>
    <mergeCell ref="A31:I31"/>
    <mergeCell ref="A54:C54"/>
    <mergeCell ref="F144:G144"/>
    <mergeCell ref="H144:I144"/>
    <mergeCell ref="A145:B145"/>
    <mergeCell ref="B137:C137"/>
    <mergeCell ref="A98:B98"/>
    <mergeCell ref="A99:B99"/>
    <mergeCell ref="D102:F102"/>
    <mergeCell ref="B102:C102"/>
    <mergeCell ref="A4:B4"/>
    <mergeCell ref="A5:B5"/>
    <mergeCell ref="A6:B6"/>
    <mergeCell ref="F5:G5"/>
    <mergeCell ref="F4:G4"/>
    <mergeCell ref="H5:I5"/>
    <mergeCell ref="H4:I4"/>
    <mergeCell ref="A20:I21"/>
    <mergeCell ref="A19:C19"/>
    <mergeCell ref="F7:I7"/>
    <mergeCell ref="A7:A8"/>
    <mergeCell ref="B7:B8"/>
    <mergeCell ref="C7:C8"/>
    <mergeCell ref="D7:D8"/>
    <mergeCell ref="E7:E8"/>
    <mergeCell ref="F24:I24"/>
    <mergeCell ref="A28:B28"/>
    <mergeCell ref="G22:I22"/>
    <mergeCell ref="G23:I23"/>
    <mergeCell ref="A26:I26"/>
    <mergeCell ref="A25:I25"/>
    <mergeCell ref="G27:I27"/>
    <mergeCell ref="E28:F28"/>
    <mergeCell ref="C28:D28"/>
    <mergeCell ref="G132:I132"/>
    <mergeCell ref="C133:D133"/>
    <mergeCell ref="E133:F133"/>
    <mergeCell ref="A77:A78"/>
    <mergeCell ref="B77:B78"/>
    <mergeCell ref="C77:C78"/>
    <mergeCell ref="D77:D78"/>
    <mergeCell ref="E77:E78"/>
    <mergeCell ref="F109:G109"/>
    <mergeCell ref="H109:I109"/>
    <mergeCell ref="A110:B110"/>
    <mergeCell ref="F110:G110"/>
    <mergeCell ref="H110:I110"/>
    <mergeCell ref="A111:B111"/>
    <mergeCell ref="A125:I126"/>
    <mergeCell ref="F129:I129"/>
    <mergeCell ref="A109:B109"/>
    <mergeCell ref="G442:I442"/>
    <mergeCell ref="G443:I443"/>
    <mergeCell ref="F444:I444"/>
    <mergeCell ref="A445:I445"/>
    <mergeCell ref="A378:B378"/>
    <mergeCell ref="F374:I374"/>
    <mergeCell ref="G377:I377"/>
    <mergeCell ref="C378:D378"/>
    <mergeCell ref="G373:I373"/>
    <mergeCell ref="A375:I375"/>
    <mergeCell ref="A376:I376"/>
    <mergeCell ref="A284:B284"/>
    <mergeCell ref="A285:B285"/>
    <mergeCell ref="F234:I234"/>
    <mergeCell ref="A238:B238"/>
    <mergeCell ref="A239:B239"/>
    <mergeCell ref="A249:B249"/>
    <mergeCell ref="A240:I240"/>
    <mergeCell ref="A241:I241"/>
    <mergeCell ref="B242:C242"/>
    <mergeCell ref="D242:F242"/>
    <mergeCell ref="G242:I242"/>
    <mergeCell ref="A243:I245"/>
    <mergeCell ref="F249:G249"/>
    <mergeCell ref="H249:I249"/>
    <mergeCell ref="A250:B250"/>
    <mergeCell ref="F250:G250"/>
    <mergeCell ref="H250:I250"/>
    <mergeCell ref="A246:I246"/>
    <mergeCell ref="F285:G285"/>
    <mergeCell ref="H285:I285"/>
    <mergeCell ref="A286:B286"/>
    <mergeCell ref="A55:I56"/>
    <mergeCell ref="F59:I59"/>
    <mergeCell ref="A63:B63"/>
    <mergeCell ref="A100:I100"/>
    <mergeCell ref="A135:I135"/>
    <mergeCell ref="C134:I134"/>
    <mergeCell ref="G133:I133"/>
    <mergeCell ref="G127:I127"/>
    <mergeCell ref="G128:I128"/>
    <mergeCell ref="A170:I170"/>
    <mergeCell ref="G172:I172"/>
    <mergeCell ref="G62:I62"/>
    <mergeCell ref="C63:D63"/>
    <mergeCell ref="E63:F63"/>
    <mergeCell ref="G97:I97"/>
    <mergeCell ref="C98:D98"/>
    <mergeCell ref="E98:F98"/>
    <mergeCell ref="A64:B64"/>
    <mergeCell ref="D67:F67"/>
    <mergeCell ref="A74:B74"/>
    <mergeCell ref="F74:G74"/>
    <mergeCell ref="H74:I74"/>
    <mergeCell ref="A75:B75"/>
    <mergeCell ref="F75:G75"/>
    <mergeCell ref="H75:I75"/>
    <mergeCell ref="B67:C67"/>
    <mergeCell ref="A76:B76"/>
    <mergeCell ref="A65:I65"/>
    <mergeCell ref="C64:I64"/>
    <mergeCell ref="G63:I63"/>
    <mergeCell ref="A168:B168"/>
    <mergeCell ref="D172:F172"/>
    <mergeCell ref="G57:I57"/>
    <mergeCell ref="G58:I58"/>
    <mergeCell ref="G67:I67"/>
    <mergeCell ref="G92:I92"/>
    <mergeCell ref="G93:I93"/>
    <mergeCell ref="G102:I102"/>
    <mergeCell ref="C99:I99"/>
    <mergeCell ref="A60:I60"/>
    <mergeCell ref="A61:I61"/>
    <mergeCell ref="A66:I66"/>
    <mergeCell ref="A68:I70"/>
    <mergeCell ref="A71:I71"/>
    <mergeCell ref="A95:I95"/>
    <mergeCell ref="A96:I96"/>
    <mergeCell ref="C147:C148"/>
    <mergeCell ref="D147:D148"/>
    <mergeCell ref="E147:E148"/>
    <mergeCell ref="F147:I147"/>
    <mergeCell ref="A112:A113"/>
    <mergeCell ref="B112:B113"/>
    <mergeCell ref="C112:C113"/>
    <mergeCell ref="D112:D113"/>
    <mergeCell ref="E112:E113"/>
    <mergeCell ref="F112:I112"/>
    <mergeCell ref="A124:C124"/>
    <mergeCell ref="A141:I141"/>
    <mergeCell ref="A133:B133"/>
    <mergeCell ref="A134:B134"/>
    <mergeCell ref="F77:I77"/>
    <mergeCell ref="A89:C89"/>
    <mergeCell ref="A90:I91"/>
    <mergeCell ref="F94:I94"/>
    <mergeCell ref="A495:B495"/>
    <mergeCell ref="F495:G495"/>
    <mergeCell ref="H495:I495"/>
    <mergeCell ref="A496:B496"/>
    <mergeCell ref="A497:A498"/>
    <mergeCell ref="B497:B498"/>
    <mergeCell ref="C497:C498"/>
    <mergeCell ref="D497:D498"/>
    <mergeCell ref="E497:E498"/>
    <mergeCell ref="F497:I497"/>
    <mergeCell ref="A520:I520"/>
    <mergeCell ref="G98:I98"/>
    <mergeCell ref="A491:I491"/>
    <mergeCell ref="A494:B494"/>
    <mergeCell ref="F494:G494"/>
    <mergeCell ref="H494:I494"/>
    <mergeCell ref="A101:I101"/>
    <mergeCell ref="A103:I105"/>
    <mergeCell ref="A106:I106"/>
    <mergeCell ref="A130:I130"/>
    <mergeCell ref="A131:I131"/>
    <mergeCell ref="A136:I136"/>
    <mergeCell ref="G137:I137"/>
    <mergeCell ref="A138:I140"/>
    <mergeCell ref="F145:G145"/>
    <mergeCell ref="H145:I145"/>
    <mergeCell ref="A146:B146"/>
    <mergeCell ref="A147:A148"/>
    <mergeCell ref="B147:B148"/>
    <mergeCell ref="A159:C159"/>
    <mergeCell ref="A160:I161"/>
    <mergeCell ref="G163:I163"/>
    <mergeCell ref="G547:I547"/>
    <mergeCell ref="B522:C522"/>
    <mergeCell ref="D522:F522"/>
    <mergeCell ref="G522:I522"/>
    <mergeCell ref="A509:C509"/>
    <mergeCell ref="A510:I511"/>
    <mergeCell ref="G512:I512"/>
    <mergeCell ref="F514:I514"/>
    <mergeCell ref="A515:I515"/>
    <mergeCell ref="G517:I517"/>
    <mergeCell ref="A518:B518"/>
    <mergeCell ref="C518:D518"/>
    <mergeCell ref="E518:F518"/>
    <mergeCell ref="A521:I521"/>
    <mergeCell ref="G513:I513"/>
    <mergeCell ref="A516:I516"/>
    <mergeCell ref="G518:I518"/>
    <mergeCell ref="A519:B519"/>
    <mergeCell ref="C519:I519"/>
    <mergeCell ref="A527:I527"/>
    <mergeCell ref="A555:I555"/>
    <mergeCell ref="A556:I556"/>
    <mergeCell ref="B557:C557"/>
    <mergeCell ref="D557:F557"/>
    <mergeCell ref="G557:I557"/>
    <mergeCell ref="F549:I549"/>
    <mergeCell ref="A550:I550"/>
    <mergeCell ref="A551:I551"/>
    <mergeCell ref="G552:I552"/>
    <mergeCell ref="A553:B553"/>
    <mergeCell ref="C553:D553"/>
    <mergeCell ref="E553:F553"/>
    <mergeCell ref="G553:I553"/>
    <mergeCell ref="A554:B554"/>
    <mergeCell ref="C554:I554"/>
    <mergeCell ref="G548:I548"/>
    <mergeCell ref="A526:I526"/>
    <mergeCell ref="A529:B529"/>
    <mergeCell ref="F529:G529"/>
    <mergeCell ref="H529:I529"/>
    <mergeCell ref="A530:B530"/>
    <mergeCell ref="F530:G530"/>
    <mergeCell ref="H530:I530"/>
    <mergeCell ref="A531:B531"/>
    <mergeCell ref="A532:A533"/>
    <mergeCell ref="B532:B533"/>
    <mergeCell ref="C532:C533"/>
    <mergeCell ref="D532:D533"/>
    <mergeCell ref="E532:E533"/>
    <mergeCell ref="F532:I532"/>
    <mergeCell ref="A544:C544"/>
    <mergeCell ref="A545:I546"/>
    <mergeCell ref="A754:C754"/>
    <mergeCell ref="A755:I756"/>
    <mergeCell ref="G758:I758"/>
    <mergeCell ref="F759:I759"/>
    <mergeCell ref="A760:I760"/>
    <mergeCell ref="A761:I761"/>
    <mergeCell ref="G762:I762"/>
    <mergeCell ref="A763:B763"/>
    <mergeCell ref="C763:D763"/>
    <mergeCell ref="E763:F763"/>
    <mergeCell ref="G763:I763"/>
    <mergeCell ref="A736:I736"/>
    <mergeCell ref="A739:B739"/>
    <mergeCell ref="F739:G739"/>
    <mergeCell ref="H739:I739"/>
    <mergeCell ref="A740:B740"/>
    <mergeCell ref="F740:G740"/>
    <mergeCell ref="H740:I740"/>
    <mergeCell ref="A741:B741"/>
    <mergeCell ref="A742:A743"/>
    <mergeCell ref="B742:B743"/>
    <mergeCell ref="C742:C743"/>
    <mergeCell ref="D742:D743"/>
    <mergeCell ref="E742:E743"/>
    <mergeCell ref="F742:I742"/>
    <mergeCell ref="G757:I757"/>
    <mergeCell ref="G793:I793"/>
    <mergeCell ref="A796:I796"/>
    <mergeCell ref="A771:I771"/>
    <mergeCell ref="A774:B774"/>
    <mergeCell ref="F774:G774"/>
    <mergeCell ref="H774:I774"/>
    <mergeCell ref="A775:B775"/>
    <mergeCell ref="F775:G775"/>
    <mergeCell ref="H775:I775"/>
    <mergeCell ref="A776:B776"/>
    <mergeCell ref="A777:A778"/>
    <mergeCell ref="B777:B778"/>
    <mergeCell ref="C777:C778"/>
    <mergeCell ref="D777:D778"/>
    <mergeCell ref="E777:E778"/>
    <mergeCell ref="F777:I777"/>
    <mergeCell ref="A764:B764"/>
    <mergeCell ref="C764:I764"/>
    <mergeCell ref="A765:I765"/>
    <mergeCell ref="A766:I766"/>
    <mergeCell ref="B767:C767"/>
    <mergeCell ref="D767:F767"/>
    <mergeCell ref="G767:I767"/>
    <mergeCell ref="A768:I770"/>
    <mergeCell ref="E812:E813"/>
    <mergeCell ref="F812:I812"/>
    <mergeCell ref="A824:C824"/>
    <mergeCell ref="A825:I826"/>
    <mergeCell ref="A809:B809"/>
    <mergeCell ref="F809:G809"/>
    <mergeCell ref="H809:I809"/>
    <mergeCell ref="A810:B810"/>
    <mergeCell ref="F810:G810"/>
    <mergeCell ref="H810:I810"/>
    <mergeCell ref="A811:B811"/>
    <mergeCell ref="G798:I798"/>
    <mergeCell ref="A799:B799"/>
    <mergeCell ref="C799:I799"/>
    <mergeCell ref="A800:I800"/>
    <mergeCell ref="A801:I801"/>
    <mergeCell ref="B802:C802"/>
    <mergeCell ref="D802:F802"/>
    <mergeCell ref="A812:A813"/>
    <mergeCell ref="B812:B813"/>
    <mergeCell ref="C812:C813"/>
    <mergeCell ref="D812:D813"/>
    <mergeCell ref="G802:I802"/>
    <mergeCell ref="A803:I805"/>
    <mergeCell ref="A806:I806"/>
    <mergeCell ref="A847:A848"/>
    <mergeCell ref="B847:B848"/>
    <mergeCell ref="C847:C848"/>
    <mergeCell ref="D847:D848"/>
    <mergeCell ref="E847:E848"/>
    <mergeCell ref="F847:I847"/>
    <mergeCell ref="A834:B834"/>
    <mergeCell ref="C834:I834"/>
    <mergeCell ref="A835:I835"/>
    <mergeCell ref="A836:I836"/>
    <mergeCell ref="B837:C837"/>
    <mergeCell ref="D837:F837"/>
    <mergeCell ref="G837:I837"/>
    <mergeCell ref="A838:I840"/>
    <mergeCell ref="A841:I841"/>
    <mergeCell ref="G827:I827"/>
    <mergeCell ref="G828:I828"/>
    <mergeCell ref="F829:I829"/>
    <mergeCell ref="A830:I830"/>
    <mergeCell ref="A831:I831"/>
    <mergeCell ref="G832:I832"/>
    <mergeCell ref="A833:B833"/>
    <mergeCell ref="C833:D833"/>
    <mergeCell ref="E833:F833"/>
    <mergeCell ref="G833:I833"/>
    <mergeCell ref="A846:B846"/>
    <mergeCell ref="A844:B844"/>
    <mergeCell ref="F844:G844"/>
    <mergeCell ref="H844:I844"/>
    <mergeCell ref="A845:B845"/>
    <mergeCell ref="F845:G845"/>
    <mergeCell ref="H845:I845"/>
    <mergeCell ref="A868:B868"/>
    <mergeCell ref="C868:D868"/>
    <mergeCell ref="E868:F868"/>
    <mergeCell ref="G868:I868"/>
    <mergeCell ref="A869:B869"/>
    <mergeCell ref="C869:I869"/>
    <mergeCell ref="A870:I870"/>
    <mergeCell ref="A871:I871"/>
    <mergeCell ref="B872:C872"/>
    <mergeCell ref="D872:F872"/>
    <mergeCell ref="G872:I872"/>
    <mergeCell ref="A859:C859"/>
    <mergeCell ref="A860:I861"/>
    <mergeCell ref="G862:I862"/>
    <mergeCell ref="G863:I863"/>
    <mergeCell ref="F864:I864"/>
    <mergeCell ref="A865:I865"/>
    <mergeCell ref="A866:I866"/>
    <mergeCell ref="G867:I867"/>
    <mergeCell ref="A882:A883"/>
    <mergeCell ref="B882:B883"/>
    <mergeCell ref="C882:C883"/>
    <mergeCell ref="D882:D883"/>
    <mergeCell ref="E882:E883"/>
    <mergeCell ref="F882:I882"/>
    <mergeCell ref="A894:C894"/>
    <mergeCell ref="A895:I896"/>
    <mergeCell ref="G897:I897"/>
    <mergeCell ref="A873:I875"/>
    <mergeCell ref="A876:I876"/>
    <mergeCell ref="A879:B879"/>
    <mergeCell ref="F879:G879"/>
    <mergeCell ref="H879:I879"/>
    <mergeCell ref="A880:B880"/>
    <mergeCell ref="F880:G880"/>
    <mergeCell ref="H880:I880"/>
    <mergeCell ref="A881:B881"/>
    <mergeCell ref="A904:B904"/>
    <mergeCell ref="C904:I904"/>
    <mergeCell ref="A905:I905"/>
    <mergeCell ref="A906:I906"/>
    <mergeCell ref="B907:C907"/>
    <mergeCell ref="D907:F907"/>
    <mergeCell ref="G907:I907"/>
    <mergeCell ref="A908:I910"/>
    <mergeCell ref="A911:I911"/>
    <mergeCell ref="G898:I898"/>
    <mergeCell ref="F899:I899"/>
    <mergeCell ref="A900:I900"/>
    <mergeCell ref="A901:I901"/>
    <mergeCell ref="G902:I902"/>
    <mergeCell ref="A903:B903"/>
    <mergeCell ref="C903:D903"/>
    <mergeCell ref="E903:F903"/>
    <mergeCell ref="G903:I903"/>
    <mergeCell ref="A929:C929"/>
    <mergeCell ref="A930:I931"/>
    <mergeCell ref="G932:I932"/>
    <mergeCell ref="G933:I933"/>
    <mergeCell ref="F934:I934"/>
    <mergeCell ref="A935:I935"/>
    <mergeCell ref="A936:I936"/>
    <mergeCell ref="G937:I937"/>
    <mergeCell ref="A938:B938"/>
    <mergeCell ref="C938:D938"/>
    <mergeCell ref="E938:F938"/>
    <mergeCell ref="G938:I938"/>
    <mergeCell ref="A914:B914"/>
    <mergeCell ref="F914:G914"/>
    <mergeCell ref="H914:I914"/>
    <mergeCell ref="A915:B915"/>
    <mergeCell ref="F915:G915"/>
    <mergeCell ref="H915:I915"/>
    <mergeCell ref="A916:B916"/>
    <mergeCell ref="A917:A918"/>
    <mergeCell ref="B917:B918"/>
    <mergeCell ref="C917:C918"/>
    <mergeCell ref="D917:D918"/>
    <mergeCell ref="E917:E918"/>
    <mergeCell ref="F917:I917"/>
    <mergeCell ref="A949:B949"/>
    <mergeCell ref="F949:G949"/>
    <mergeCell ref="H949:I949"/>
    <mergeCell ref="A950:B950"/>
    <mergeCell ref="F950:G950"/>
    <mergeCell ref="H950:I950"/>
    <mergeCell ref="A951:B951"/>
    <mergeCell ref="A952:A953"/>
    <mergeCell ref="B952:B953"/>
    <mergeCell ref="C952:C953"/>
    <mergeCell ref="D952:D953"/>
    <mergeCell ref="E952:E953"/>
    <mergeCell ref="F952:I952"/>
    <mergeCell ref="A939:B939"/>
    <mergeCell ref="C939:I939"/>
    <mergeCell ref="A940:I940"/>
    <mergeCell ref="A941:I941"/>
    <mergeCell ref="B942:C942"/>
    <mergeCell ref="D942:F942"/>
    <mergeCell ref="G942:I942"/>
    <mergeCell ref="A943:I945"/>
    <mergeCell ref="A946:I946"/>
    <mergeCell ref="E987:E988"/>
    <mergeCell ref="F987:I987"/>
    <mergeCell ref="A974:B974"/>
    <mergeCell ref="C974:I974"/>
    <mergeCell ref="A975:I975"/>
    <mergeCell ref="A976:I976"/>
    <mergeCell ref="B977:C977"/>
    <mergeCell ref="D977:F977"/>
    <mergeCell ref="G977:I977"/>
    <mergeCell ref="A978:I980"/>
    <mergeCell ref="A981:I981"/>
    <mergeCell ref="A964:C964"/>
    <mergeCell ref="A965:I966"/>
    <mergeCell ref="G967:I967"/>
    <mergeCell ref="G968:I968"/>
    <mergeCell ref="F969:I969"/>
    <mergeCell ref="A970:I970"/>
    <mergeCell ref="A971:I971"/>
    <mergeCell ref="G972:I972"/>
    <mergeCell ref="A973:B973"/>
    <mergeCell ref="C973:D973"/>
    <mergeCell ref="E973:F973"/>
    <mergeCell ref="G973:I973"/>
    <mergeCell ref="A1009:B1009"/>
    <mergeCell ref="C1009:I1009"/>
    <mergeCell ref="A1010:I1010"/>
    <mergeCell ref="A1011:I1011"/>
    <mergeCell ref="B1012:C1012"/>
    <mergeCell ref="D1012:F1012"/>
    <mergeCell ref="G1012:I1012"/>
    <mergeCell ref="A1013:I1015"/>
    <mergeCell ref="A558:I560"/>
    <mergeCell ref="A999:C999"/>
    <mergeCell ref="A1000:I1001"/>
    <mergeCell ref="G1002:I1002"/>
    <mergeCell ref="G1003:I1003"/>
    <mergeCell ref="F1004:I1004"/>
    <mergeCell ref="A1005:I1005"/>
    <mergeCell ref="A1006:I1006"/>
    <mergeCell ref="G1007:I1007"/>
    <mergeCell ref="A1008:B1008"/>
    <mergeCell ref="C1008:D1008"/>
    <mergeCell ref="E1008:F1008"/>
    <mergeCell ref="G1008:I1008"/>
    <mergeCell ref="A984:B984"/>
    <mergeCell ref="F984:G984"/>
    <mergeCell ref="H984:I984"/>
    <mergeCell ref="A985:B985"/>
    <mergeCell ref="F985:G985"/>
    <mergeCell ref="H985:I985"/>
    <mergeCell ref="A986:B986"/>
    <mergeCell ref="A987:A988"/>
    <mergeCell ref="B987:B988"/>
    <mergeCell ref="C987:C988"/>
    <mergeCell ref="D987:D988"/>
    <mergeCell ref="F179:G179"/>
    <mergeCell ref="H179:I179"/>
    <mergeCell ref="A180:B180"/>
    <mergeCell ref="F180:G180"/>
    <mergeCell ref="H180:I180"/>
    <mergeCell ref="A181:B181"/>
    <mergeCell ref="A182:A183"/>
    <mergeCell ref="B182:B183"/>
    <mergeCell ref="C182:C183"/>
    <mergeCell ref="D182:D183"/>
    <mergeCell ref="E182:E183"/>
    <mergeCell ref="F182:I182"/>
    <mergeCell ref="F164:I164"/>
    <mergeCell ref="A165:I165"/>
    <mergeCell ref="A166:I166"/>
    <mergeCell ref="G167:I167"/>
    <mergeCell ref="C168:D168"/>
    <mergeCell ref="E168:F168"/>
    <mergeCell ref="G168:I168"/>
    <mergeCell ref="A169:B169"/>
    <mergeCell ref="C169:I169"/>
    <mergeCell ref="A179:B179"/>
    <mergeCell ref="B172:C172"/>
    <mergeCell ref="A171:I171"/>
    <mergeCell ref="A173:I175"/>
    <mergeCell ref="A204:B204"/>
    <mergeCell ref="C204:I204"/>
    <mergeCell ref="A205:I205"/>
    <mergeCell ref="A206:I206"/>
    <mergeCell ref="B207:C207"/>
    <mergeCell ref="D207:F207"/>
    <mergeCell ref="G207:I207"/>
    <mergeCell ref="A208:I210"/>
    <mergeCell ref="F214:G214"/>
    <mergeCell ref="H214:I214"/>
    <mergeCell ref="A194:C194"/>
    <mergeCell ref="A195:I196"/>
    <mergeCell ref="G197:I197"/>
    <mergeCell ref="G198:I198"/>
    <mergeCell ref="F199:I199"/>
    <mergeCell ref="A200:I200"/>
    <mergeCell ref="A201:I201"/>
    <mergeCell ref="G202:I202"/>
    <mergeCell ref="A203:B203"/>
    <mergeCell ref="C203:D203"/>
    <mergeCell ref="E203:F203"/>
    <mergeCell ref="G203:I203"/>
    <mergeCell ref="A217:A218"/>
    <mergeCell ref="B217:B218"/>
    <mergeCell ref="C217:C218"/>
    <mergeCell ref="D217:D218"/>
    <mergeCell ref="E217:E218"/>
    <mergeCell ref="F217:I217"/>
    <mergeCell ref="A229:C229"/>
    <mergeCell ref="A230:I231"/>
    <mergeCell ref="G232:I232"/>
    <mergeCell ref="G267:I267"/>
    <mergeCell ref="G268:I268"/>
    <mergeCell ref="F269:I269"/>
    <mergeCell ref="A270:I270"/>
    <mergeCell ref="A271:I271"/>
    <mergeCell ref="G272:I272"/>
    <mergeCell ref="A273:B273"/>
    <mergeCell ref="C273:D273"/>
    <mergeCell ref="E273:F273"/>
    <mergeCell ref="G273:I273"/>
    <mergeCell ref="A251:B251"/>
    <mergeCell ref="A252:A253"/>
    <mergeCell ref="B252:B253"/>
    <mergeCell ref="C252:C253"/>
    <mergeCell ref="D252:D253"/>
    <mergeCell ref="E252:E253"/>
    <mergeCell ref="F252:I252"/>
    <mergeCell ref="A264:C264"/>
    <mergeCell ref="A265:I266"/>
    <mergeCell ref="A287:A288"/>
    <mergeCell ref="B287:B288"/>
    <mergeCell ref="C287:C288"/>
    <mergeCell ref="D287:D288"/>
    <mergeCell ref="E287:E288"/>
    <mergeCell ref="F287:I287"/>
    <mergeCell ref="A274:B274"/>
    <mergeCell ref="C274:I274"/>
    <mergeCell ref="A275:I275"/>
    <mergeCell ref="A276:I276"/>
    <mergeCell ref="B277:C277"/>
    <mergeCell ref="D277:F277"/>
    <mergeCell ref="G277:I277"/>
    <mergeCell ref="A278:I280"/>
    <mergeCell ref="F284:G284"/>
    <mergeCell ref="H284:I284"/>
    <mergeCell ref="A281:I281"/>
    <mergeCell ref="A309:B309"/>
    <mergeCell ref="C309:I309"/>
    <mergeCell ref="A310:I310"/>
    <mergeCell ref="A311:I311"/>
    <mergeCell ref="B312:C312"/>
    <mergeCell ref="D312:F312"/>
    <mergeCell ref="G312:I312"/>
    <mergeCell ref="A313:I315"/>
    <mergeCell ref="F319:G319"/>
    <mergeCell ref="H319:I319"/>
    <mergeCell ref="A299:C299"/>
    <mergeCell ref="A300:I301"/>
    <mergeCell ref="G302:I302"/>
    <mergeCell ref="G303:I303"/>
    <mergeCell ref="F304:I304"/>
    <mergeCell ref="A305:I305"/>
    <mergeCell ref="A306:I306"/>
    <mergeCell ref="G307:I307"/>
    <mergeCell ref="A308:B308"/>
    <mergeCell ref="C308:D308"/>
    <mergeCell ref="E308:F308"/>
    <mergeCell ref="G308:I308"/>
    <mergeCell ref="A334:C334"/>
    <mergeCell ref="A335:I336"/>
    <mergeCell ref="G337:I337"/>
    <mergeCell ref="G338:I338"/>
    <mergeCell ref="F339:I339"/>
    <mergeCell ref="A340:I340"/>
    <mergeCell ref="A341:I341"/>
    <mergeCell ref="G342:I342"/>
    <mergeCell ref="A343:B343"/>
    <mergeCell ref="C343:D343"/>
    <mergeCell ref="E343:F343"/>
    <mergeCell ref="G343:I343"/>
    <mergeCell ref="A320:B320"/>
    <mergeCell ref="F320:G320"/>
    <mergeCell ref="H320:I320"/>
    <mergeCell ref="A321:B321"/>
    <mergeCell ref="A322:A323"/>
    <mergeCell ref="B322:B323"/>
    <mergeCell ref="C322:C323"/>
    <mergeCell ref="D322:D323"/>
    <mergeCell ref="E322:E323"/>
    <mergeCell ref="F322:I322"/>
    <mergeCell ref="A357:A358"/>
    <mergeCell ref="B357:B358"/>
    <mergeCell ref="C357:C358"/>
    <mergeCell ref="D357:D358"/>
    <mergeCell ref="E357:E358"/>
    <mergeCell ref="F357:I357"/>
    <mergeCell ref="A369:C369"/>
    <mergeCell ref="A370:I371"/>
    <mergeCell ref="G372:I372"/>
    <mergeCell ref="A344:B344"/>
    <mergeCell ref="C344:I344"/>
    <mergeCell ref="A345:I345"/>
    <mergeCell ref="A346:I346"/>
    <mergeCell ref="B347:C347"/>
    <mergeCell ref="D347:F347"/>
    <mergeCell ref="G347:I347"/>
    <mergeCell ref="A348:I350"/>
    <mergeCell ref="F354:G354"/>
    <mergeCell ref="H354:I354"/>
    <mergeCell ref="A354:B354"/>
    <mergeCell ref="A355:B355"/>
    <mergeCell ref="F355:G355"/>
    <mergeCell ref="H355:I355"/>
    <mergeCell ref="A356:B356"/>
    <mergeCell ref="B417:C417"/>
    <mergeCell ref="D417:F417"/>
    <mergeCell ref="G417:I417"/>
    <mergeCell ref="A418:I420"/>
    <mergeCell ref="A404:C404"/>
    <mergeCell ref="A405:I406"/>
    <mergeCell ref="G407:I407"/>
    <mergeCell ref="G408:I408"/>
    <mergeCell ref="F409:I409"/>
    <mergeCell ref="A410:I410"/>
    <mergeCell ref="A411:I411"/>
    <mergeCell ref="G412:I412"/>
    <mergeCell ref="A413:B413"/>
    <mergeCell ref="C413:D413"/>
    <mergeCell ref="E413:F413"/>
    <mergeCell ref="G413:I413"/>
    <mergeCell ref="D382:F382"/>
    <mergeCell ref="G382:I382"/>
    <mergeCell ref="A389:B389"/>
    <mergeCell ref="F389:G389"/>
    <mergeCell ref="H389:I389"/>
    <mergeCell ref="A390:B390"/>
    <mergeCell ref="A453:I455"/>
    <mergeCell ref="A488:I490"/>
    <mergeCell ref="A316:I316"/>
    <mergeCell ref="A351:I351"/>
    <mergeCell ref="A386:I386"/>
    <mergeCell ref="A789:C789"/>
    <mergeCell ref="A790:I791"/>
    <mergeCell ref="G792:I792"/>
    <mergeCell ref="F794:I794"/>
    <mergeCell ref="A795:I795"/>
    <mergeCell ref="G797:I797"/>
    <mergeCell ref="A798:B798"/>
    <mergeCell ref="C798:D798"/>
    <mergeCell ref="E798:F798"/>
    <mergeCell ref="A523:I525"/>
    <mergeCell ref="A593:I595"/>
    <mergeCell ref="A628:I630"/>
    <mergeCell ref="A663:I665"/>
    <mergeCell ref="A698:I700"/>
    <mergeCell ref="A733:I735"/>
    <mergeCell ref="A383:I385"/>
    <mergeCell ref="E378:F378"/>
    <mergeCell ref="G378:I378"/>
    <mergeCell ref="A379:B379"/>
    <mergeCell ref="C379:I379"/>
    <mergeCell ref="A380:I380"/>
    <mergeCell ref="A381:I381"/>
    <mergeCell ref="B382:C382"/>
    <mergeCell ref="A414:B414"/>
    <mergeCell ref="C414:I414"/>
    <mergeCell ref="A415:I415"/>
    <mergeCell ref="A416:I416"/>
    <mergeCell ref="A1034:C1034"/>
    <mergeCell ref="A1035:I1036"/>
    <mergeCell ref="G1037:I1037"/>
    <mergeCell ref="G1038:I1038"/>
    <mergeCell ref="F1039:I1039"/>
    <mergeCell ref="A1040:I1040"/>
    <mergeCell ref="A1041:I1041"/>
    <mergeCell ref="G1042:I1042"/>
    <mergeCell ref="A1043:B1043"/>
    <mergeCell ref="C1043:D1043"/>
    <mergeCell ref="E1043:F1043"/>
    <mergeCell ref="G1043:I1043"/>
    <mergeCell ref="A1016:I1016"/>
    <mergeCell ref="A1019:B1019"/>
    <mergeCell ref="F1019:G1019"/>
    <mergeCell ref="H1019:I1019"/>
    <mergeCell ref="A1020:B1020"/>
    <mergeCell ref="F1020:G1020"/>
    <mergeCell ref="H1020:I1020"/>
    <mergeCell ref="A1021:B1021"/>
    <mergeCell ref="A1022:A1023"/>
    <mergeCell ref="B1022:B1023"/>
    <mergeCell ref="C1022:C1023"/>
    <mergeCell ref="D1022:D1023"/>
    <mergeCell ref="E1022:E1023"/>
    <mergeCell ref="F1022:I1022"/>
    <mergeCell ref="A1054:B1054"/>
    <mergeCell ref="F1054:G1054"/>
    <mergeCell ref="H1054:I1054"/>
    <mergeCell ref="A1055:B1055"/>
    <mergeCell ref="F1055:G1055"/>
    <mergeCell ref="H1055:I1055"/>
    <mergeCell ref="A1056:B1056"/>
    <mergeCell ref="A1057:A1058"/>
    <mergeCell ref="B1057:B1058"/>
    <mergeCell ref="C1057:C1058"/>
    <mergeCell ref="D1057:D1058"/>
    <mergeCell ref="E1057:E1058"/>
    <mergeCell ref="F1057:I1057"/>
    <mergeCell ref="A1044:B1044"/>
    <mergeCell ref="C1044:I1044"/>
    <mergeCell ref="A1045:I1045"/>
    <mergeCell ref="A1046:I1046"/>
    <mergeCell ref="B1047:C1047"/>
    <mergeCell ref="D1047:F1047"/>
    <mergeCell ref="G1047:I1047"/>
    <mergeCell ref="A1048:I1050"/>
    <mergeCell ref="A1051:I1051"/>
    <mergeCell ref="A1079:B1079"/>
    <mergeCell ref="C1079:I1079"/>
    <mergeCell ref="A1080:I1080"/>
    <mergeCell ref="A1081:I1081"/>
    <mergeCell ref="B1082:C1082"/>
    <mergeCell ref="D1082:F1082"/>
    <mergeCell ref="G1082:I1082"/>
    <mergeCell ref="A1083:I1085"/>
    <mergeCell ref="A1086:I1086"/>
    <mergeCell ref="A1069:C1069"/>
    <mergeCell ref="A1070:I1071"/>
    <mergeCell ref="G1072:I1072"/>
    <mergeCell ref="G1073:I1073"/>
    <mergeCell ref="F1074:I1074"/>
    <mergeCell ref="A1075:I1075"/>
    <mergeCell ref="A1076:I1076"/>
    <mergeCell ref="G1077:I1077"/>
    <mergeCell ref="A1078:B1078"/>
    <mergeCell ref="C1078:D1078"/>
    <mergeCell ref="E1078:F1078"/>
    <mergeCell ref="G1078:I1078"/>
    <mergeCell ref="A1104:C1104"/>
    <mergeCell ref="A1105:I1106"/>
    <mergeCell ref="G1107:I1107"/>
    <mergeCell ref="G1108:I1108"/>
    <mergeCell ref="F1109:I1109"/>
    <mergeCell ref="A1110:I1110"/>
    <mergeCell ref="A1111:I1111"/>
    <mergeCell ref="G1112:I1112"/>
    <mergeCell ref="A1113:B1113"/>
    <mergeCell ref="C1113:D1113"/>
    <mergeCell ref="E1113:F1113"/>
    <mergeCell ref="G1113:I1113"/>
    <mergeCell ref="A1089:B1089"/>
    <mergeCell ref="F1089:G1089"/>
    <mergeCell ref="H1089:I1089"/>
    <mergeCell ref="A1090:B1090"/>
    <mergeCell ref="F1090:G1090"/>
    <mergeCell ref="H1090:I1090"/>
    <mergeCell ref="A1091:B1091"/>
    <mergeCell ref="A1092:A1093"/>
    <mergeCell ref="B1092:B1093"/>
    <mergeCell ref="C1092:C1093"/>
    <mergeCell ref="D1092:D1093"/>
    <mergeCell ref="E1092:E1093"/>
    <mergeCell ref="F1092:I1092"/>
    <mergeCell ref="A1124:B1124"/>
    <mergeCell ref="F1124:G1124"/>
    <mergeCell ref="H1124:I1124"/>
    <mergeCell ref="A1125:B1125"/>
    <mergeCell ref="F1125:G1125"/>
    <mergeCell ref="H1125:I1125"/>
    <mergeCell ref="A1126:B1126"/>
    <mergeCell ref="A1127:A1128"/>
    <mergeCell ref="B1127:B1128"/>
    <mergeCell ref="C1127:C1128"/>
    <mergeCell ref="D1127:D1128"/>
    <mergeCell ref="E1127:E1128"/>
    <mergeCell ref="F1127:I1127"/>
    <mergeCell ref="A1114:B1114"/>
    <mergeCell ref="C1114:I1114"/>
    <mergeCell ref="A1115:I1115"/>
    <mergeCell ref="A1116:I1116"/>
    <mergeCell ref="B1117:C1117"/>
    <mergeCell ref="D1117:F1117"/>
    <mergeCell ref="G1117:I1117"/>
    <mergeCell ref="A1118:I1120"/>
    <mergeCell ref="A1121:I1121"/>
    <mergeCell ref="A1149:B1149"/>
    <mergeCell ref="C1149:I1149"/>
    <mergeCell ref="A1150:I1150"/>
    <mergeCell ref="A1151:I1151"/>
    <mergeCell ref="B1152:C1152"/>
    <mergeCell ref="D1152:F1152"/>
    <mergeCell ref="G1152:I1152"/>
    <mergeCell ref="A1153:I1155"/>
    <mergeCell ref="A1139:C1139"/>
    <mergeCell ref="A1140:I1141"/>
    <mergeCell ref="G1142:I1142"/>
    <mergeCell ref="G1143:I1143"/>
    <mergeCell ref="F1144:I1144"/>
    <mergeCell ref="A1145:I1145"/>
    <mergeCell ref="A1146:I1146"/>
    <mergeCell ref="G1147:I1147"/>
    <mergeCell ref="A1148:B1148"/>
    <mergeCell ref="C1148:D1148"/>
    <mergeCell ref="E1148:F1148"/>
    <mergeCell ref="G1148:I1148"/>
  </mergeCells>
  <pageMargins left="0.7" right="0.7" top="0.75" bottom="0.75" header="0.3" footer="0.3"/>
  <pageSetup paperSize="9" scale="1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68B7-B4D0-436E-B78B-27A9085A082B}">
  <sheetPr codeName="Sheet4"/>
  <dimension ref="A1:Z39"/>
  <sheetViews>
    <sheetView zoomScale="54" workbookViewId="0">
      <selection activeCell="A7" sqref="A7"/>
    </sheetView>
  </sheetViews>
  <sheetFormatPr defaultRowHeight="14.4" x14ac:dyDescent="0.3"/>
  <cols>
    <col min="3" max="3" width="11.5546875" customWidth="1"/>
    <col min="4" max="4" width="29" customWidth="1"/>
    <col min="5" max="5" width="9.44140625" customWidth="1"/>
    <col min="7" max="7" width="11.88671875" customWidth="1"/>
    <col min="8" max="8" width="22" customWidth="1"/>
    <col min="9" max="9" width="23.6640625" customWidth="1"/>
    <col min="10" max="14" width="11.44140625" customWidth="1"/>
    <col min="20" max="20" width="10.109375" customWidth="1"/>
    <col min="21" max="25" width="10.109375" hidden="1" customWidth="1"/>
    <col min="26" max="26" width="12.5546875" hidden="1" customWidth="1"/>
    <col min="260" max="260" width="11.5546875" customWidth="1"/>
    <col min="261" max="261" width="29" customWidth="1"/>
    <col min="262" max="262" width="9.44140625" customWidth="1"/>
    <col min="264" max="264" width="11.88671875" customWidth="1"/>
    <col min="265" max="265" width="26.33203125" customWidth="1"/>
    <col min="266" max="270" width="11.44140625" customWidth="1"/>
    <col min="276" max="276" width="10.109375" customWidth="1"/>
    <col min="277" max="282" width="0" hidden="1" customWidth="1"/>
    <col min="516" max="516" width="11.5546875" customWidth="1"/>
    <col min="517" max="517" width="29" customWidth="1"/>
    <col min="518" max="518" width="9.44140625" customWidth="1"/>
    <col min="520" max="520" width="11.88671875" customWidth="1"/>
    <col min="521" max="521" width="26.33203125" customWidth="1"/>
    <col min="522" max="526" width="11.44140625" customWidth="1"/>
    <col min="532" max="532" width="10.109375" customWidth="1"/>
    <col min="533" max="538" width="0" hidden="1" customWidth="1"/>
    <col min="772" max="772" width="11.5546875" customWidth="1"/>
    <col min="773" max="773" width="29" customWidth="1"/>
    <col min="774" max="774" width="9.44140625" customWidth="1"/>
    <col min="776" max="776" width="11.88671875" customWidth="1"/>
    <col min="777" max="777" width="26.33203125" customWidth="1"/>
    <col min="778" max="782" width="11.44140625" customWidth="1"/>
    <col min="788" max="788" width="10.109375" customWidth="1"/>
    <col min="789" max="794" width="0" hidden="1" customWidth="1"/>
    <col min="1028" max="1028" width="11.5546875" customWidth="1"/>
    <col min="1029" max="1029" width="29" customWidth="1"/>
    <col min="1030" max="1030" width="9.44140625" customWidth="1"/>
    <col min="1032" max="1032" width="11.88671875" customWidth="1"/>
    <col min="1033" max="1033" width="26.33203125" customWidth="1"/>
    <col min="1034" max="1038" width="11.44140625" customWidth="1"/>
    <col min="1044" max="1044" width="10.109375" customWidth="1"/>
    <col min="1045" max="1050" width="0" hidden="1" customWidth="1"/>
    <col min="1284" max="1284" width="11.5546875" customWidth="1"/>
    <col min="1285" max="1285" width="29" customWidth="1"/>
    <col min="1286" max="1286" width="9.44140625" customWidth="1"/>
    <col min="1288" max="1288" width="11.88671875" customWidth="1"/>
    <col min="1289" max="1289" width="26.33203125" customWidth="1"/>
    <col min="1290" max="1294" width="11.44140625" customWidth="1"/>
    <col min="1300" max="1300" width="10.109375" customWidth="1"/>
    <col min="1301" max="1306" width="0" hidden="1" customWidth="1"/>
    <col min="1540" max="1540" width="11.5546875" customWidth="1"/>
    <col min="1541" max="1541" width="29" customWidth="1"/>
    <col min="1542" max="1542" width="9.44140625" customWidth="1"/>
    <col min="1544" max="1544" width="11.88671875" customWidth="1"/>
    <col min="1545" max="1545" width="26.33203125" customWidth="1"/>
    <col min="1546" max="1550" width="11.44140625" customWidth="1"/>
    <col min="1556" max="1556" width="10.109375" customWidth="1"/>
    <col min="1557" max="1562" width="0" hidden="1" customWidth="1"/>
    <col min="1796" max="1796" width="11.5546875" customWidth="1"/>
    <col min="1797" max="1797" width="29" customWidth="1"/>
    <col min="1798" max="1798" width="9.44140625" customWidth="1"/>
    <col min="1800" max="1800" width="11.88671875" customWidth="1"/>
    <col min="1801" max="1801" width="26.33203125" customWidth="1"/>
    <col min="1802" max="1806" width="11.44140625" customWidth="1"/>
    <col min="1812" max="1812" width="10.109375" customWidth="1"/>
    <col min="1813" max="1818" width="0" hidden="1" customWidth="1"/>
    <col min="2052" max="2052" width="11.5546875" customWidth="1"/>
    <col min="2053" max="2053" width="29" customWidth="1"/>
    <col min="2054" max="2054" width="9.44140625" customWidth="1"/>
    <col min="2056" max="2056" width="11.88671875" customWidth="1"/>
    <col min="2057" max="2057" width="26.33203125" customWidth="1"/>
    <col min="2058" max="2062" width="11.44140625" customWidth="1"/>
    <col min="2068" max="2068" width="10.109375" customWidth="1"/>
    <col min="2069" max="2074" width="0" hidden="1" customWidth="1"/>
    <col min="2308" max="2308" width="11.5546875" customWidth="1"/>
    <col min="2309" max="2309" width="29" customWidth="1"/>
    <col min="2310" max="2310" width="9.44140625" customWidth="1"/>
    <col min="2312" max="2312" width="11.88671875" customWidth="1"/>
    <col min="2313" max="2313" width="26.33203125" customWidth="1"/>
    <col min="2314" max="2318" width="11.44140625" customWidth="1"/>
    <col min="2324" max="2324" width="10.109375" customWidth="1"/>
    <col min="2325" max="2330" width="0" hidden="1" customWidth="1"/>
    <col min="2564" max="2564" width="11.5546875" customWidth="1"/>
    <col min="2565" max="2565" width="29" customWidth="1"/>
    <col min="2566" max="2566" width="9.44140625" customWidth="1"/>
    <col min="2568" max="2568" width="11.88671875" customWidth="1"/>
    <col min="2569" max="2569" width="26.33203125" customWidth="1"/>
    <col min="2570" max="2574" width="11.44140625" customWidth="1"/>
    <col min="2580" max="2580" width="10.109375" customWidth="1"/>
    <col min="2581" max="2586" width="0" hidden="1" customWidth="1"/>
    <col min="2820" max="2820" width="11.5546875" customWidth="1"/>
    <col min="2821" max="2821" width="29" customWidth="1"/>
    <col min="2822" max="2822" width="9.44140625" customWidth="1"/>
    <col min="2824" max="2824" width="11.88671875" customWidth="1"/>
    <col min="2825" max="2825" width="26.33203125" customWidth="1"/>
    <col min="2826" max="2830" width="11.44140625" customWidth="1"/>
    <col min="2836" max="2836" width="10.109375" customWidth="1"/>
    <col min="2837" max="2842" width="0" hidden="1" customWidth="1"/>
    <col min="3076" max="3076" width="11.5546875" customWidth="1"/>
    <col min="3077" max="3077" width="29" customWidth="1"/>
    <col min="3078" max="3078" width="9.44140625" customWidth="1"/>
    <col min="3080" max="3080" width="11.88671875" customWidth="1"/>
    <col min="3081" max="3081" width="26.33203125" customWidth="1"/>
    <col min="3082" max="3086" width="11.44140625" customWidth="1"/>
    <col min="3092" max="3092" width="10.109375" customWidth="1"/>
    <col min="3093" max="3098" width="0" hidden="1" customWidth="1"/>
    <col min="3332" max="3332" width="11.5546875" customWidth="1"/>
    <col min="3333" max="3333" width="29" customWidth="1"/>
    <col min="3334" max="3334" width="9.44140625" customWidth="1"/>
    <col min="3336" max="3336" width="11.88671875" customWidth="1"/>
    <col min="3337" max="3337" width="26.33203125" customWidth="1"/>
    <col min="3338" max="3342" width="11.44140625" customWidth="1"/>
    <col min="3348" max="3348" width="10.109375" customWidth="1"/>
    <col min="3349" max="3354" width="0" hidden="1" customWidth="1"/>
    <col min="3588" max="3588" width="11.5546875" customWidth="1"/>
    <col min="3589" max="3589" width="29" customWidth="1"/>
    <col min="3590" max="3590" width="9.44140625" customWidth="1"/>
    <col min="3592" max="3592" width="11.88671875" customWidth="1"/>
    <col min="3593" max="3593" width="26.33203125" customWidth="1"/>
    <col min="3594" max="3598" width="11.44140625" customWidth="1"/>
    <col min="3604" max="3604" width="10.109375" customWidth="1"/>
    <col min="3605" max="3610" width="0" hidden="1" customWidth="1"/>
    <col min="3844" max="3844" width="11.5546875" customWidth="1"/>
    <col min="3845" max="3845" width="29" customWidth="1"/>
    <col min="3846" max="3846" width="9.44140625" customWidth="1"/>
    <col min="3848" max="3848" width="11.88671875" customWidth="1"/>
    <col min="3849" max="3849" width="26.33203125" customWidth="1"/>
    <col min="3850" max="3854" width="11.44140625" customWidth="1"/>
    <col min="3860" max="3860" width="10.109375" customWidth="1"/>
    <col min="3861" max="3866" width="0" hidden="1" customWidth="1"/>
    <col min="4100" max="4100" width="11.5546875" customWidth="1"/>
    <col min="4101" max="4101" width="29" customWidth="1"/>
    <col min="4102" max="4102" width="9.44140625" customWidth="1"/>
    <col min="4104" max="4104" width="11.88671875" customWidth="1"/>
    <col min="4105" max="4105" width="26.33203125" customWidth="1"/>
    <col min="4106" max="4110" width="11.44140625" customWidth="1"/>
    <col min="4116" max="4116" width="10.109375" customWidth="1"/>
    <col min="4117" max="4122" width="0" hidden="1" customWidth="1"/>
    <col min="4356" max="4356" width="11.5546875" customWidth="1"/>
    <col min="4357" max="4357" width="29" customWidth="1"/>
    <col min="4358" max="4358" width="9.44140625" customWidth="1"/>
    <col min="4360" max="4360" width="11.88671875" customWidth="1"/>
    <col min="4361" max="4361" width="26.33203125" customWidth="1"/>
    <col min="4362" max="4366" width="11.44140625" customWidth="1"/>
    <col min="4372" max="4372" width="10.109375" customWidth="1"/>
    <col min="4373" max="4378" width="0" hidden="1" customWidth="1"/>
    <col min="4612" max="4612" width="11.5546875" customWidth="1"/>
    <col min="4613" max="4613" width="29" customWidth="1"/>
    <col min="4614" max="4614" width="9.44140625" customWidth="1"/>
    <col min="4616" max="4616" width="11.88671875" customWidth="1"/>
    <col min="4617" max="4617" width="26.33203125" customWidth="1"/>
    <col min="4618" max="4622" width="11.44140625" customWidth="1"/>
    <col min="4628" max="4628" width="10.109375" customWidth="1"/>
    <col min="4629" max="4634" width="0" hidden="1" customWidth="1"/>
    <col min="4868" max="4868" width="11.5546875" customWidth="1"/>
    <col min="4869" max="4869" width="29" customWidth="1"/>
    <col min="4870" max="4870" width="9.44140625" customWidth="1"/>
    <col min="4872" max="4872" width="11.88671875" customWidth="1"/>
    <col min="4873" max="4873" width="26.33203125" customWidth="1"/>
    <col min="4874" max="4878" width="11.44140625" customWidth="1"/>
    <col min="4884" max="4884" width="10.109375" customWidth="1"/>
    <col min="4885" max="4890" width="0" hidden="1" customWidth="1"/>
    <col min="5124" max="5124" width="11.5546875" customWidth="1"/>
    <col min="5125" max="5125" width="29" customWidth="1"/>
    <col min="5126" max="5126" width="9.44140625" customWidth="1"/>
    <col min="5128" max="5128" width="11.88671875" customWidth="1"/>
    <col min="5129" max="5129" width="26.33203125" customWidth="1"/>
    <col min="5130" max="5134" width="11.44140625" customWidth="1"/>
    <col min="5140" max="5140" width="10.109375" customWidth="1"/>
    <col min="5141" max="5146" width="0" hidden="1" customWidth="1"/>
    <col min="5380" max="5380" width="11.5546875" customWidth="1"/>
    <col min="5381" max="5381" width="29" customWidth="1"/>
    <col min="5382" max="5382" width="9.44140625" customWidth="1"/>
    <col min="5384" max="5384" width="11.88671875" customWidth="1"/>
    <col min="5385" max="5385" width="26.33203125" customWidth="1"/>
    <col min="5386" max="5390" width="11.44140625" customWidth="1"/>
    <col min="5396" max="5396" width="10.109375" customWidth="1"/>
    <col min="5397" max="5402" width="0" hidden="1" customWidth="1"/>
    <col min="5636" max="5636" width="11.5546875" customWidth="1"/>
    <col min="5637" max="5637" width="29" customWidth="1"/>
    <col min="5638" max="5638" width="9.44140625" customWidth="1"/>
    <col min="5640" max="5640" width="11.88671875" customWidth="1"/>
    <col min="5641" max="5641" width="26.33203125" customWidth="1"/>
    <col min="5642" max="5646" width="11.44140625" customWidth="1"/>
    <col min="5652" max="5652" width="10.109375" customWidth="1"/>
    <col min="5653" max="5658" width="0" hidden="1" customWidth="1"/>
    <col min="5892" max="5892" width="11.5546875" customWidth="1"/>
    <col min="5893" max="5893" width="29" customWidth="1"/>
    <col min="5894" max="5894" width="9.44140625" customWidth="1"/>
    <col min="5896" max="5896" width="11.88671875" customWidth="1"/>
    <col min="5897" max="5897" width="26.33203125" customWidth="1"/>
    <col min="5898" max="5902" width="11.44140625" customWidth="1"/>
    <col min="5908" max="5908" width="10.109375" customWidth="1"/>
    <col min="5909" max="5914" width="0" hidden="1" customWidth="1"/>
    <col min="6148" max="6148" width="11.5546875" customWidth="1"/>
    <col min="6149" max="6149" width="29" customWidth="1"/>
    <col min="6150" max="6150" width="9.44140625" customWidth="1"/>
    <col min="6152" max="6152" width="11.88671875" customWidth="1"/>
    <col min="6153" max="6153" width="26.33203125" customWidth="1"/>
    <col min="6154" max="6158" width="11.44140625" customWidth="1"/>
    <col min="6164" max="6164" width="10.109375" customWidth="1"/>
    <col min="6165" max="6170" width="0" hidden="1" customWidth="1"/>
    <col min="6404" max="6404" width="11.5546875" customWidth="1"/>
    <col min="6405" max="6405" width="29" customWidth="1"/>
    <col min="6406" max="6406" width="9.44140625" customWidth="1"/>
    <col min="6408" max="6408" width="11.88671875" customWidth="1"/>
    <col min="6409" max="6409" width="26.33203125" customWidth="1"/>
    <col min="6410" max="6414" width="11.44140625" customWidth="1"/>
    <col min="6420" max="6420" width="10.109375" customWidth="1"/>
    <col min="6421" max="6426" width="0" hidden="1" customWidth="1"/>
    <col min="6660" max="6660" width="11.5546875" customWidth="1"/>
    <col min="6661" max="6661" width="29" customWidth="1"/>
    <col min="6662" max="6662" width="9.44140625" customWidth="1"/>
    <col min="6664" max="6664" width="11.88671875" customWidth="1"/>
    <col min="66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ax="6916" width="11.5546875" customWidth="1"/>
    <col min="6917" max="6917" width="29" customWidth="1"/>
    <col min="6918" max="6918" width="9.44140625" customWidth="1"/>
    <col min="6920" max="6920" width="11.88671875" customWidth="1"/>
    <col min="6921" max="6921" width="26.33203125" customWidth="1"/>
    <col min="6922" max="6926" width="11.44140625" customWidth="1"/>
    <col min="6932" max="6932" width="10.109375" customWidth="1"/>
    <col min="6933" max="6938" width="0" hidden="1" customWidth="1"/>
    <col min="7172" max="7172" width="11.5546875" customWidth="1"/>
    <col min="7173" max="7173" width="29" customWidth="1"/>
    <col min="7174" max="7174" width="9.44140625" customWidth="1"/>
    <col min="7176" max="7176" width="11.88671875" customWidth="1"/>
    <col min="7177" max="7177" width="26.33203125" customWidth="1"/>
    <col min="7178" max="7182" width="11.44140625" customWidth="1"/>
    <col min="7188" max="7188" width="10.109375" customWidth="1"/>
    <col min="7189" max="7194" width="0" hidden="1" customWidth="1"/>
    <col min="7428" max="7428" width="11.5546875" customWidth="1"/>
    <col min="7429" max="7429" width="29" customWidth="1"/>
    <col min="7430" max="7430" width="9.44140625" customWidth="1"/>
    <col min="7432" max="7432" width="11.88671875" customWidth="1"/>
    <col min="7433" max="7433" width="26.33203125" customWidth="1"/>
    <col min="7434" max="7438" width="11.44140625" customWidth="1"/>
    <col min="7444" max="7444" width="10.109375" customWidth="1"/>
    <col min="7445" max="7450" width="0" hidden="1" customWidth="1"/>
    <col min="7684" max="7684" width="11.5546875" customWidth="1"/>
    <col min="7685" max="7685" width="29" customWidth="1"/>
    <col min="7686" max="7686" width="9.44140625" customWidth="1"/>
    <col min="7688" max="7688" width="11.88671875" customWidth="1"/>
    <col min="7689" max="7689" width="26.33203125" customWidth="1"/>
    <col min="7690" max="7694" width="11.44140625" customWidth="1"/>
    <col min="7700" max="7700" width="10.109375" customWidth="1"/>
    <col min="7701" max="7706" width="0" hidden="1" customWidth="1"/>
    <col min="7940" max="7940" width="11.5546875" customWidth="1"/>
    <col min="7941" max="7941" width="29" customWidth="1"/>
    <col min="7942" max="7942" width="9.44140625" customWidth="1"/>
    <col min="7944" max="7944" width="11.88671875" customWidth="1"/>
    <col min="7945" max="7945" width="26.33203125" customWidth="1"/>
    <col min="7946" max="7950" width="11.44140625" customWidth="1"/>
    <col min="7956" max="7956" width="10.109375" customWidth="1"/>
    <col min="7957" max="7962" width="0" hidden="1" customWidth="1"/>
    <col min="8196" max="8196" width="11.5546875" customWidth="1"/>
    <col min="8197" max="8197" width="29" customWidth="1"/>
    <col min="8198" max="8198" width="9.44140625" customWidth="1"/>
    <col min="8200" max="8200" width="11.88671875" customWidth="1"/>
    <col min="8201" max="8201" width="26.33203125" customWidth="1"/>
    <col min="8202" max="8206" width="11.44140625" customWidth="1"/>
    <col min="8212" max="8212" width="10.109375" customWidth="1"/>
    <col min="8213" max="8218" width="0" hidden="1" customWidth="1"/>
    <col min="8452" max="8452" width="11.5546875" customWidth="1"/>
    <col min="8453" max="8453" width="29" customWidth="1"/>
    <col min="8454" max="8454" width="9.44140625" customWidth="1"/>
    <col min="8456" max="8456" width="11.88671875" customWidth="1"/>
    <col min="8457" max="8457" width="26.33203125" customWidth="1"/>
    <col min="8458" max="8462" width="11.44140625" customWidth="1"/>
    <col min="8468" max="8468" width="10.109375" customWidth="1"/>
    <col min="8469" max="8474" width="0" hidden="1" customWidth="1"/>
    <col min="8708" max="8708" width="11.5546875" customWidth="1"/>
    <col min="8709" max="8709" width="29" customWidth="1"/>
    <col min="8710" max="8710" width="9.44140625" customWidth="1"/>
    <col min="8712" max="8712" width="11.88671875" customWidth="1"/>
    <col min="8713" max="8713" width="26.33203125" customWidth="1"/>
    <col min="8714" max="8718" width="11.44140625" customWidth="1"/>
    <col min="8724" max="8724" width="10.109375" customWidth="1"/>
    <col min="8725" max="8730" width="0" hidden="1" customWidth="1"/>
    <col min="8964" max="8964" width="11.5546875" customWidth="1"/>
    <col min="8965" max="8965" width="29" customWidth="1"/>
    <col min="8966" max="8966" width="9.44140625" customWidth="1"/>
    <col min="8968" max="8968" width="11.88671875" customWidth="1"/>
    <col min="8969" max="8969" width="26.33203125" customWidth="1"/>
    <col min="8970" max="8974" width="11.44140625" customWidth="1"/>
    <col min="8980" max="8980" width="10.109375" customWidth="1"/>
    <col min="8981" max="8986" width="0" hidden="1" customWidth="1"/>
    <col min="9220" max="9220" width="11.5546875" customWidth="1"/>
    <col min="9221" max="9221" width="29" customWidth="1"/>
    <col min="9222" max="9222" width="9.44140625" customWidth="1"/>
    <col min="9224" max="9224" width="11.88671875" customWidth="1"/>
    <col min="9225" max="9225" width="26.33203125" customWidth="1"/>
    <col min="9226" max="9230" width="11.44140625" customWidth="1"/>
    <col min="9236" max="9236" width="10.109375" customWidth="1"/>
    <col min="9237" max="9242" width="0" hidden="1" customWidth="1"/>
    <col min="9476" max="9476" width="11.5546875" customWidth="1"/>
    <col min="9477" max="9477" width="29" customWidth="1"/>
    <col min="9478" max="9478" width="9.44140625" customWidth="1"/>
    <col min="9480" max="9480" width="11.88671875" customWidth="1"/>
    <col min="9481" max="9481" width="26.33203125" customWidth="1"/>
    <col min="9482" max="9486" width="11.44140625" customWidth="1"/>
    <col min="9492" max="9492" width="10.109375" customWidth="1"/>
    <col min="9493" max="9498" width="0" hidden="1" customWidth="1"/>
    <col min="9732" max="9732" width="11.5546875" customWidth="1"/>
    <col min="9733" max="9733" width="29" customWidth="1"/>
    <col min="9734" max="9734" width="9.44140625" customWidth="1"/>
    <col min="9736" max="9736" width="11.88671875" customWidth="1"/>
    <col min="9737" max="9737" width="26.33203125" customWidth="1"/>
    <col min="9738" max="9742" width="11.44140625" customWidth="1"/>
    <col min="9748" max="9748" width="10.109375" customWidth="1"/>
    <col min="9749" max="9754" width="0" hidden="1" customWidth="1"/>
    <col min="9988" max="9988" width="11.5546875" customWidth="1"/>
    <col min="9989" max="9989" width="29" customWidth="1"/>
    <col min="9990" max="9990" width="9.44140625" customWidth="1"/>
    <col min="9992" max="9992" width="11.88671875" customWidth="1"/>
    <col min="9993" max="9993" width="26.33203125" customWidth="1"/>
    <col min="9994" max="9998" width="11.44140625" customWidth="1"/>
    <col min="10004" max="10004" width="10.109375" customWidth="1"/>
    <col min="10005" max="10010" width="0" hidden="1" customWidth="1"/>
    <col min="10244" max="10244" width="11.5546875" customWidth="1"/>
    <col min="10245" max="10245" width="29" customWidth="1"/>
    <col min="10246" max="10246" width="9.44140625" customWidth="1"/>
    <col min="10248" max="10248" width="11.88671875" customWidth="1"/>
    <col min="10249" max="10249" width="26.33203125" customWidth="1"/>
    <col min="10250" max="10254" width="11.44140625" customWidth="1"/>
    <col min="10260" max="10260" width="10.109375" customWidth="1"/>
    <col min="10261" max="10266" width="0" hidden="1" customWidth="1"/>
    <col min="10500" max="10500" width="11.5546875" customWidth="1"/>
    <col min="10501" max="10501" width="29" customWidth="1"/>
    <col min="10502" max="10502" width="9.44140625" customWidth="1"/>
    <col min="10504" max="10504" width="11.88671875" customWidth="1"/>
    <col min="10505" max="10505" width="26.33203125" customWidth="1"/>
    <col min="10506" max="10510" width="11.44140625" customWidth="1"/>
    <col min="10516" max="10516" width="10.109375" customWidth="1"/>
    <col min="10517" max="10522" width="0" hidden="1" customWidth="1"/>
    <col min="10756" max="10756" width="11.5546875" customWidth="1"/>
    <col min="10757" max="10757" width="29" customWidth="1"/>
    <col min="10758" max="10758" width="9.44140625" customWidth="1"/>
    <col min="10760" max="10760" width="11.88671875" customWidth="1"/>
    <col min="10761" max="10761" width="26.33203125" customWidth="1"/>
    <col min="10762" max="10766" width="11.44140625" customWidth="1"/>
    <col min="10772" max="10772" width="10.109375" customWidth="1"/>
    <col min="10773" max="10778" width="0" hidden="1" customWidth="1"/>
    <col min="11012" max="11012" width="11.5546875" customWidth="1"/>
    <col min="11013" max="11013" width="29" customWidth="1"/>
    <col min="11014" max="11014" width="9.44140625" customWidth="1"/>
    <col min="11016" max="11016" width="11.88671875" customWidth="1"/>
    <col min="11017" max="11017" width="26.33203125" customWidth="1"/>
    <col min="11018" max="11022" width="11.44140625" customWidth="1"/>
    <col min="11028" max="11028" width="10.109375" customWidth="1"/>
    <col min="11029" max="11034" width="0" hidden="1" customWidth="1"/>
    <col min="11268" max="11268" width="11.5546875" customWidth="1"/>
    <col min="11269" max="11269" width="29" customWidth="1"/>
    <col min="11270" max="11270" width="9.44140625" customWidth="1"/>
    <col min="11272" max="11272" width="11.88671875" customWidth="1"/>
    <col min="11273" max="11273" width="26.33203125" customWidth="1"/>
    <col min="11274" max="11278" width="11.44140625" customWidth="1"/>
    <col min="11284" max="11284" width="10.109375" customWidth="1"/>
    <col min="11285" max="11290" width="0" hidden="1" customWidth="1"/>
    <col min="11524" max="11524" width="11.5546875" customWidth="1"/>
    <col min="11525" max="11525" width="29" customWidth="1"/>
    <col min="11526" max="11526" width="9.44140625" customWidth="1"/>
    <col min="11528" max="11528" width="11.88671875" customWidth="1"/>
    <col min="11529" max="11529" width="26.33203125" customWidth="1"/>
    <col min="11530" max="11534" width="11.44140625" customWidth="1"/>
    <col min="11540" max="11540" width="10.109375" customWidth="1"/>
    <col min="11541" max="11546" width="0" hidden="1" customWidth="1"/>
    <col min="11780" max="11780" width="11.5546875" customWidth="1"/>
    <col min="11781" max="11781" width="29" customWidth="1"/>
    <col min="11782" max="11782" width="9.44140625" customWidth="1"/>
    <col min="11784" max="11784" width="11.88671875" customWidth="1"/>
    <col min="11785" max="11785" width="26.33203125" customWidth="1"/>
    <col min="11786" max="11790" width="11.44140625" customWidth="1"/>
    <col min="11796" max="11796" width="10.109375" customWidth="1"/>
    <col min="11797" max="11802" width="0" hidden="1" customWidth="1"/>
    <col min="12036" max="12036" width="11.5546875" customWidth="1"/>
    <col min="12037" max="12037" width="29" customWidth="1"/>
    <col min="12038" max="12038" width="9.44140625" customWidth="1"/>
    <col min="12040" max="12040" width="11.88671875" customWidth="1"/>
    <col min="12041" max="12041" width="26.33203125" customWidth="1"/>
    <col min="12042" max="12046" width="11.44140625" customWidth="1"/>
    <col min="12052" max="12052" width="10.109375" customWidth="1"/>
    <col min="12053" max="12058" width="0" hidden="1" customWidth="1"/>
    <col min="12292" max="12292" width="11.5546875" customWidth="1"/>
    <col min="12293" max="12293" width="29" customWidth="1"/>
    <col min="12294" max="12294" width="9.44140625" customWidth="1"/>
    <col min="12296" max="12296" width="11.88671875" customWidth="1"/>
    <col min="12297" max="12297" width="26.33203125" customWidth="1"/>
    <col min="12298" max="12302" width="11.44140625" customWidth="1"/>
    <col min="12308" max="12308" width="10.109375" customWidth="1"/>
    <col min="12309" max="12314" width="0" hidden="1" customWidth="1"/>
    <col min="12548" max="12548" width="11.5546875" customWidth="1"/>
    <col min="12549" max="12549" width="29" customWidth="1"/>
    <col min="12550" max="12550" width="9.44140625" customWidth="1"/>
    <col min="12552" max="12552" width="11.88671875" customWidth="1"/>
    <col min="12553" max="12553" width="26.33203125" customWidth="1"/>
    <col min="12554" max="12558" width="11.44140625" customWidth="1"/>
    <col min="12564" max="12564" width="10.109375" customWidth="1"/>
    <col min="12565" max="12570" width="0" hidden="1" customWidth="1"/>
    <col min="12804" max="12804" width="11.5546875" customWidth="1"/>
    <col min="12805" max="12805" width="29" customWidth="1"/>
    <col min="12806" max="12806" width="9.44140625" customWidth="1"/>
    <col min="12808" max="12808" width="11.88671875" customWidth="1"/>
    <col min="12809" max="12809" width="26.33203125" customWidth="1"/>
    <col min="12810" max="12814" width="11.44140625" customWidth="1"/>
    <col min="12820" max="12820" width="10.109375" customWidth="1"/>
    <col min="12821" max="12826" width="0" hidden="1" customWidth="1"/>
    <col min="13060" max="13060" width="11.5546875" customWidth="1"/>
    <col min="13061" max="13061" width="29" customWidth="1"/>
    <col min="13062" max="13062" width="9.44140625" customWidth="1"/>
    <col min="13064" max="13064" width="11.88671875" customWidth="1"/>
    <col min="13065" max="13065" width="26.33203125" customWidth="1"/>
    <col min="13066" max="13070" width="11.44140625" customWidth="1"/>
    <col min="13076" max="13076" width="10.109375" customWidth="1"/>
    <col min="13077" max="13082" width="0" hidden="1" customWidth="1"/>
    <col min="13316" max="13316" width="11.5546875" customWidth="1"/>
    <col min="13317" max="13317" width="29" customWidth="1"/>
    <col min="13318" max="13318" width="9.44140625" customWidth="1"/>
    <col min="13320" max="13320" width="11.88671875" customWidth="1"/>
    <col min="13321" max="13321" width="26.33203125" customWidth="1"/>
    <col min="13322" max="13326" width="11.44140625" customWidth="1"/>
    <col min="13332" max="13332" width="10.109375" customWidth="1"/>
    <col min="13333" max="13338" width="0" hidden="1" customWidth="1"/>
    <col min="13572" max="13572" width="11.5546875" customWidth="1"/>
    <col min="13573" max="13573" width="29" customWidth="1"/>
    <col min="13574" max="13574" width="9.44140625" customWidth="1"/>
    <col min="13576" max="13576" width="11.88671875" customWidth="1"/>
    <col min="13577" max="13577" width="26.33203125" customWidth="1"/>
    <col min="13578" max="13582" width="11.44140625" customWidth="1"/>
    <col min="13588" max="13588" width="10.109375" customWidth="1"/>
    <col min="13589" max="13594" width="0" hidden="1" customWidth="1"/>
    <col min="13828" max="13828" width="11.5546875" customWidth="1"/>
    <col min="13829" max="13829" width="29" customWidth="1"/>
    <col min="13830" max="13830" width="9.44140625" customWidth="1"/>
    <col min="13832" max="13832" width="11.88671875" customWidth="1"/>
    <col min="13833" max="13833" width="26.33203125" customWidth="1"/>
    <col min="13834" max="13838" width="11.44140625" customWidth="1"/>
    <col min="13844" max="13844" width="10.109375" customWidth="1"/>
    <col min="13845" max="13850" width="0" hidden="1" customWidth="1"/>
    <col min="14084" max="14084" width="11.5546875" customWidth="1"/>
    <col min="14085" max="14085" width="29" customWidth="1"/>
    <col min="14086" max="14086" width="9.44140625" customWidth="1"/>
    <col min="14088" max="14088" width="11.88671875" customWidth="1"/>
    <col min="14089" max="14089" width="26.33203125" customWidth="1"/>
    <col min="14090" max="14094" width="11.44140625" customWidth="1"/>
    <col min="14100" max="14100" width="10.109375" customWidth="1"/>
    <col min="14101" max="14106" width="0" hidden="1" customWidth="1"/>
    <col min="14340" max="14340" width="11.5546875" customWidth="1"/>
    <col min="14341" max="14341" width="29" customWidth="1"/>
    <col min="14342" max="14342" width="9.44140625" customWidth="1"/>
    <col min="14344" max="14344" width="11.88671875" customWidth="1"/>
    <col min="14345" max="14345" width="26.33203125" customWidth="1"/>
    <col min="14346" max="14350" width="11.44140625" customWidth="1"/>
    <col min="14356" max="14356" width="10.109375" customWidth="1"/>
    <col min="14357" max="14362" width="0" hidden="1" customWidth="1"/>
    <col min="14596" max="14596" width="11.5546875" customWidth="1"/>
    <col min="14597" max="14597" width="29" customWidth="1"/>
    <col min="14598" max="14598" width="9.44140625" customWidth="1"/>
    <col min="14600" max="14600" width="11.88671875" customWidth="1"/>
    <col min="14601" max="14601" width="26.33203125" customWidth="1"/>
    <col min="14602" max="14606" width="11.44140625" customWidth="1"/>
    <col min="14612" max="14612" width="10.109375" customWidth="1"/>
    <col min="14613" max="14618" width="0" hidden="1" customWidth="1"/>
    <col min="14852" max="14852" width="11.5546875" customWidth="1"/>
    <col min="14853" max="14853" width="29" customWidth="1"/>
    <col min="14854" max="14854" width="9.44140625" customWidth="1"/>
    <col min="14856" max="14856" width="11.88671875" customWidth="1"/>
    <col min="14857" max="14857" width="26.33203125" customWidth="1"/>
    <col min="14858" max="14862" width="11.44140625" customWidth="1"/>
    <col min="14868" max="14868" width="10.109375" customWidth="1"/>
    <col min="14869" max="14874" width="0" hidden="1" customWidth="1"/>
    <col min="15108" max="15108" width="11.5546875" customWidth="1"/>
    <col min="15109" max="15109" width="29" customWidth="1"/>
    <col min="15110" max="15110" width="9.44140625" customWidth="1"/>
    <col min="15112" max="15112" width="11.88671875" customWidth="1"/>
    <col min="15113" max="15113" width="26.33203125" customWidth="1"/>
    <col min="15114" max="15118" width="11.44140625" customWidth="1"/>
    <col min="15124" max="15124" width="10.109375" customWidth="1"/>
    <col min="15125" max="15130" width="0" hidden="1" customWidth="1"/>
    <col min="15364" max="15364" width="11.5546875" customWidth="1"/>
    <col min="15365" max="15365" width="29" customWidth="1"/>
    <col min="15366" max="15366" width="9.44140625" customWidth="1"/>
    <col min="15368" max="15368" width="11.88671875" customWidth="1"/>
    <col min="15369" max="15369" width="26.33203125" customWidth="1"/>
    <col min="15370" max="15374" width="11.44140625" customWidth="1"/>
    <col min="15380" max="15380" width="10.109375" customWidth="1"/>
    <col min="15381" max="15386" width="0" hidden="1" customWidth="1"/>
    <col min="15620" max="15620" width="11.5546875" customWidth="1"/>
    <col min="15621" max="15621" width="29" customWidth="1"/>
    <col min="15622" max="15622" width="9.44140625" customWidth="1"/>
    <col min="15624" max="15624" width="11.88671875" customWidth="1"/>
    <col min="15625" max="15625" width="26.33203125" customWidth="1"/>
    <col min="15626" max="15630" width="11.44140625" customWidth="1"/>
    <col min="15636" max="15636" width="10.109375" customWidth="1"/>
    <col min="15637" max="15642" width="0" hidden="1" customWidth="1"/>
    <col min="15876" max="15876" width="11.5546875" customWidth="1"/>
    <col min="15877" max="15877" width="29" customWidth="1"/>
    <col min="15878" max="15878" width="9.44140625" customWidth="1"/>
    <col min="15880" max="15880" width="11.88671875" customWidth="1"/>
    <col min="15881" max="15881" width="26.33203125" customWidth="1"/>
    <col min="15882" max="15886" width="11.44140625" customWidth="1"/>
    <col min="15892" max="15892" width="10.109375" customWidth="1"/>
    <col min="15893" max="15898" width="0" hidden="1" customWidth="1"/>
    <col min="16132" max="16132" width="11.5546875" customWidth="1"/>
    <col min="16133" max="16133" width="29" customWidth="1"/>
    <col min="16134" max="16134" width="9.44140625" customWidth="1"/>
    <col min="16136" max="16136" width="11.88671875" customWidth="1"/>
    <col min="16137" max="16137" width="26.33203125" customWidth="1"/>
    <col min="16138" max="16142" width="11.44140625" customWidth="1"/>
    <col min="16148" max="16148" width="10.109375" customWidth="1"/>
    <col min="16149" max="16154" width="0" hidden="1" customWidth="1"/>
  </cols>
  <sheetData>
    <row r="1" spans="1:26" ht="11.25" customHeight="1" x14ac:dyDescent="0.45">
      <c r="A1" s="276" t="s">
        <v>142</v>
      </c>
      <c r="B1" s="276"/>
      <c r="C1" s="276"/>
      <c r="D1" s="276"/>
      <c r="E1" s="276"/>
      <c r="F1" s="276"/>
      <c r="G1" s="276"/>
      <c r="H1" s="276"/>
      <c r="I1" s="276"/>
      <c r="J1" s="276"/>
      <c r="K1" s="46"/>
      <c r="L1" s="46"/>
      <c r="M1" s="46"/>
      <c r="N1" s="46"/>
    </row>
    <row r="2" spans="1:26" ht="11.25" customHeight="1" x14ac:dyDescent="0.45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46"/>
      <c r="L2" s="46"/>
      <c r="M2" s="46"/>
      <c r="N2" s="46"/>
    </row>
    <row r="3" spans="1:26" ht="30" customHeight="1" x14ac:dyDescent="0.3">
      <c r="A3" s="278" t="s">
        <v>43</v>
      </c>
      <c r="B3" s="281" t="s">
        <v>17</v>
      </c>
      <c r="C3" s="281" t="s">
        <v>2</v>
      </c>
      <c r="D3" s="281" t="s">
        <v>48</v>
      </c>
      <c r="E3" s="282" t="s">
        <v>192</v>
      </c>
      <c r="F3" s="281" t="s">
        <v>193</v>
      </c>
      <c r="G3" s="281" t="s">
        <v>194</v>
      </c>
      <c r="H3" s="282" t="s">
        <v>27</v>
      </c>
      <c r="I3" s="281" t="s">
        <v>143</v>
      </c>
      <c r="J3" s="281" t="s">
        <v>144</v>
      </c>
      <c r="K3" s="288" t="s">
        <v>145</v>
      </c>
      <c r="L3" s="288" t="s">
        <v>146</v>
      </c>
      <c r="M3" s="288" t="s">
        <v>147</v>
      </c>
      <c r="N3" s="288" t="s">
        <v>195</v>
      </c>
      <c r="O3" s="287" t="s">
        <v>148</v>
      </c>
      <c r="P3" s="287" t="s">
        <v>149</v>
      </c>
      <c r="Q3" s="287" t="s">
        <v>150</v>
      </c>
      <c r="R3" s="287" t="s">
        <v>151</v>
      </c>
      <c r="S3" s="47"/>
      <c r="T3" s="48"/>
      <c r="U3" s="48"/>
      <c r="V3" s="11">
        <v>1</v>
      </c>
      <c r="W3" s="15" t="s">
        <v>152</v>
      </c>
      <c r="X3" s="1" t="s">
        <v>153</v>
      </c>
      <c r="Z3" t="s">
        <v>34</v>
      </c>
    </row>
    <row r="4" spans="1:26" ht="30" customHeight="1" x14ac:dyDescent="0.3">
      <c r="A4" s="279"/>
      <c r="B4" s="281"/>
      <c r="C4" s="281"/>
      <c r="D4" s="281"/>
      <c r="E4" s="283"/>
      <c r="F4" s="281"/>
      <c r="G4" s="281"/>
      <c r="H4" s="285"/>
      <c r="I4" s="281"/>
      <c r="J4" s="281"/>
      <c r="K4" s="289"/>
      <c r="L4" s="289"/>
      <c r="M4" s="289"/>
      <c r="N4" s="289"/>
      <c r="O4" s="287"/>
      <c r="P4" s="287"/>
      <c r="Q4" s="287"/>
      <c r="R4" s="287"/>
      <c r="S4" s="47"/>
      <c r="T4" s="48"/>
      <c r="U4" s="48" t="s">
        <v>154</v>
      </c>
      <c r="V4" s="11">
        <v>2</v>
      </c>
      <c r="W4" s="15" t="s">
        <v>155</v>
      </c>
      <c r="X4" s="1" t="s">
        <v>156</v>
      </c>
      <c r="Y4" s="49"/>
      <c r="Z4" t="s">
        <v>157</v>
      </c>
    </row>
    <row r="5" spans="1:26" ht="30" customHeight="1" x14ac:dyDescent="0.3">
      <c r="A5" s="280"/>
      <c r="B5" s="281"/>
      <c r="C5" s="281"/>
      <c r="D5" s="281"/>
      <c r="E5" s="284"/>
      <c r="F5" s="281"/>
      <c r="G5" s="281"/>
      <c r="H5" s="286"/>
      <c r="I5" s="281"/>
      <c r="J5" s="281"/>
      <c r="K5" s="290"/>
      <c r="L5" s="290"/>
      <c r="M5" s="290"/>
      <c r="N5" s="290"/>
      <c r="O5" s="287"/>
      <c r="P5" s="287"/>
      <c r="Q5" s="287"/>
      <c r="R5" s="287"/>
      <c r="S5" s="47"/>
      <c r="T5" s="48"/>
      <c r="U5" s="48" t="s">
        <v>158</v>
      </c>
      <c r="V5" s="11">
        <v>3</v>
      </c>
      <c r="W5" s="15" t="s">
        <v>159</v>
      </c>
      <c r="X5" s="1" t="s">
        <v>160</v>
      </c>
      <c r="Z5" t="s">
        <v>161</v>
      </c>
    </row>
    <row r="6" spans="1:26" x14ac:dyDescent="0.3">
      <c r="A6" s="50" t="str">
        <f>'Students Attendance'!A6</f>
        <v>7TH</v>
      </c>
      <c r="B6" s="50">
        <f>'Students Attendance'!B6</f>
        <v>1</v>
      </c>
      <c r="C6" s="50">
        <f>'Students Attendance'!C6</f>
        <v>1000</v>
      </c>
      <c r="D6" s="50" t="str">
        <f>'Students Attendance'!D6</f>
        <v>Ali1</v>
      </c>
      <c r="E6" s="15"/>
      <c r="F6" s="15"/>
      <c r="G6" s="15"/>
      <c r="H6" s="15"/>
      <c r="I6" s="15"/>
      <c r="J6" s="15"/>
      <c r="K6" s="51"/>
      <c r="L6" s="51"/>
      <c r="M6" s="51"/>
      <c r="N6" s="52"/>
      <c r="O6" s="52"/>
      <c r="P6" s="53"/>
      <c r="Q6" s="53"/>
      <c r="R6" s="53"/>
      <c r="U6" t="s">
        <v>162</v>
      </c>
      <c r="V6" s="11">
        <v>4</v>
      </c>
      <c r="W6" s="15" t="s">
        <v>163</v>
      </c>
      <c r="X6" s="1" t="s">
        <v>164</v>
      </c>
      <c r="Z6" t="s">
        <v>165</v>
      </c>
    </row>
    <row r="7" spans="1:26" x14ac:dyDescent="0.3">
      <c r="A7" s="50" t="str">
        <f>'Students Attendance'!A7</f>
        <v>7TH</v>
      </c>
      <c r="B7" s="50">
        <f>'Students Attendance'!B7</f>
        <v>2</v>
      </c>
      <c r="C7" s="50">
        <f>'Students Attendance'!C7</f>
        <v>1001</v>
      </c>
      <c r="D7" s="50" t="str">
        <f>'Students Attendance'!D7</f>
        <v>Ali2</v>
      </c>
      <c r="E7" s="15"/>
      <c r="F7" s="15"/>
      <c r="G7" s="15"/>
      <c r="H7" s="15"/>
      <c r="I7" s="15"/>
      <c r="J7" s="15"/>
      <c r="K7" s="51"/>
      <c r="L7" s="51"/>
      <c r="M7" s="51"/>
      <c r="N7" s="52"/>
      <c r="O7" s="15"/>
      <c r="P7" s="53"/>
      <c r="Q7" s="53"/>
      <c r="R7" s="53"/>
      <c r="U7" t="s">
        <v>166</v>
      </c>
      <c r="V7" s="11">
        <v>5</v>
      </c>
      <c r="W7" s="15" t="s">
        <v>167</v>
      </c>
      <c r="X7" s="1" t="s">
        <v>168</v>
      </c>
      <c r="Z7" t="s">
        <v>35</v>
      </c>
    </row>
    <row r="8" spans="1:26" x14ac:dyDescent="0.3">
      <c r="A8" s="50" t="str">
        <f>'Students Attendance'!A8</f>
        <v>7TH</v>
      </c>
      <c r="B8" s="50">
        <f>'Students Attendance'!B8</f>
        <v>3</v>
      </c>
      <c r="C8" s="50">
        <f>'Students Attendance'!C8</f>
        <v>1002</v>
      </c>
      <c r="D8" s="50" t="str">
        <f>'Students Attendance'!D8</f>
        <v>Ali3</v>
      </c>
      <c r="E8" s="15"/>
      <c r="F8" s="15"/>
      <c r="G8" s="15"/>
      <c r="H8" s="15"/>
      <c r="I8" s="15"/>
      <c r="J8" s="15"/>
      <c r="K8" s="51"/>
      <c r="L8" s="51"/>
      <c r="M8" s="51"/>
      <c r="N8" s="52"/>
      <c r="O8" s="15"/>
      <c r="P8" s="53"/>
      <c r="Q8" s="53"/>
      <c r="R8" s="53"/>
      <c r="U8" t="s">
        <v>169</v>
      </c>
      <c r="V8" s="11">
        <v>6</v>
      </c>
      <c r="W8" s="15" t="s">
        <v>170</v>
      </c>
      <c r="Z8" t="s">
        <v>171</v>
      </c>
    </row>
    <row r="9" spans="1:26" x14ac:dyDescent="0.3">
      <c r="A9" s="50" t="str">
        <f>'Students Attendance'!A9</f>
        <v>7TH</v>
      </c>
      <c r="B9" s="50">
        <f>'Students Attendance'!B9</f>
        <v>4</v>
      </c>
      <c r="C9" s="50">
        <f>'Students Attendance'!C9</f>
        <v>1003</v>
      </c>
      <c r="D9" s="50" t="str">
        <f>'Students Attendance'!D9</f>
        <v>Ali4</v>
      </c>
      <c r="E9" s="15"/>
      <c r="F9" s="15"/>
      <c r="G9" s="15"/>
      <c r="H9" s="15"/>
      <c r="I9" s="15"/>
      <c r="J9" s="15"/>
      <c r="K9" s="51"/>
      <c r="L9" s="51"/>
      <c r="M9" s="51"/>
      <c r="N9" s="52"/>
      <c r="O9" s="15"/>
      <c r="P9" s="53"/>
      <c r="Q9" s="53"/>
      <c r="R9" s="53"/>
      <c r="U9" t="s">
        <v>172</v>
      </c>
      <c r="V9" s="11">
        <v>7</v>
      </c>
      <c r="Z9" t="s">
        <v>173</v>
      </c>
    </row>
    <row r="10" spans="1:26" x14ac:dyDescent="0.3">
      <c r="A10" s="50" t="str">
        <f>'Students Attendance'!A10</f>
        <v>7TH</v>
      </c>
      <c r="B10" s="50">
        <f>'Students Attendance'!B10</f>
        <v>5</v>
      </c>
      <c r="C10" s="50">
        <f>'Students Attendance'!C10</f>
        <v>1004</v>
      </c>
      <c r="D10" s="50" t="str">
        <f>'Students Attendance'!D10</f>
        <v>Ali5</v>
      </c>
      <c r="E10" s="15"/>
      <c r="F10" s="15"/>
      <c r="G10" s="15"/>
      <c r="H10" s="15"/>
      <c r="I10" s="15"/>
      <c r="J10" s="15"/>
      <c r="K10" s="51"/>
      <c r="L10" s="51"/>
      <c r="M10" s="51"/>
      <c r="N10" s="52"/>
      <c r="O10" s="15"/>
      <c r="P10" s="53"/>
      <c r="Q10" s="53"/>
      <c r="R10" s="53"/>
      <c r="U10" t="s">
        <v>174</v>
      </c>
      <c r="V10" s="11">
        <v>8</v>
      </c>
      <c r="Z10" t="s">
        <v>175</v>
      </c>
    </row>
    <row r="11" spans="1:26" x14ac:dyDescent="0.3">
      <c r="A11" s="50" t="str">
        <f>'Students Attendance'!A11</f>
        <v>7TH</v>
      </c>
      <c r="B11" s="50">
        <f>'Students Attendance'!B11</f>
        <v>6</v>
      </c>
      <c r="C11" s="50">
        <f>'Students Attendance'!C11</f>
        <v>1005</v>
      </c>
      <c r="D11" s="50" t="str">
        <f>'Students Attendance'!D11</f>
        <v>Ali6</v>
      </c>
      <c r="E11" s="15"/>
      <c r="F11" s="15"/>
      <c r="G11" s="15"/>
      <c r="H11" s="15"/>
      <c r="I11" s="15"/>
      <c r="J11" s="15"/>
      <c r="K11" s="51"/>
      <c r="L11" s="51"/>
      <c r="M11" s="51"/>
      <c r="N11" s="52"/>
      <c r="O11" s="15"/>
      <c r="P11" s="53"/>
      <c r="Q11" s="53"/>
      <c r="R11" s="53"/>
      <c r="U11" t="s">
        <v>176</v>
      </c>
      <c r="V11" s="11">
        <v>9</v>
      </c>
      <c r="Z11" t="s">
        <v>177</v>
      </c>
    </row>
    <row r="12" spans="1:26" x14ac:dyDescent="0.3">
      <c r="A12" s="50" t="str">
        <f>'Students Attendance'!A12</f>
        <v>7TH</v>
      </c>
      <c r="B12" s="50">
        <f>'Students Attendance'!B12</f>
        <v>7</v>
      </c>
      <c r="C12" s="50">
        <f>'Students Attendance'!C12</f>
        <v>1006</v>
      </c>
      <c r="D12" s="50" t="str">
        <f>'Students Attendance'!D12</f>
        <v>Ali7</v>
      </c>
      <c r="E12" s="15"/>
      <c r="F12" s="15"/>
      <c r="G12" s="15"/>
      <c r="H12" s="15"/>
      <c r="I12" s="15"/>
      <c r="J12" s="15"/>
      <c r="K12" s="51"/>
      <c r="L12" s="51"/>
      <c r="M12" s="51"/>
      <c r="N12" s="52"/>
      <c r="O12" s="15"/>
      <c r="P12" s="53"/>
      <c r="Q12" s="53"/>
      <c r="R12" s="53"/>
      <c r="U12" t="s">
        <v>178</v>
      </c>
      <c r="V12" s="11">
        <v>10</v>
      </c>
    </row>
    <row r="13" spans="1:26" x14ac:dyDescent="0.3">
      <c r="A13" s="50" t="str">
        <f>'Students Attendance'!A13</f>
        <v>7TH</v>
      </c>
      <c r="B13" s="50">
        <f>'Students Attendance'!B13</f>
        <v>8</v>
      </c>
      <c r="C13" s="50">
        <f>'Students Attendance'!C13</f>
        <v>1007</v>
      </c>
      <c r="D13" s="50" t="str">
        <f>'Students Attendance'!D13</f>
        <v>Ali8</v>
      </c>
      <c r="E13" s="15"/>
      <c r="F13" s="15"/>
      <c r="G13" s="15"/>
      <c r="H13" s="15"/>
      <c r="I13" s="15"/>
      <c r="J13" s="15"/>
      <c r="K13" s="51"/>
      <c r="L13" s="51"/>
      <c r="M13" s="51"/>
      <c r="N13" s="52"/>
      <c r="O13" s="15"/>
      <c r="P13" s="53"/>
      <c r="Q13" s="53"/>
      <c r="R13" s="53"/>
      <c r="U13" t="s">
        <v>179</v>
      </c>
    </row>
    <row r="14" spans="1:26" x14ac:dyDescent="0.3">
      <c r="A14" s="50" t="str">
        <f>'Students Attendance'!A14</f>
        <v>7TH</v>
      </c>
      <c r="B14" s="50">
        <f>'Students Attendance'!B14</f>
        <v>9</v>
      </c>
      <c r="C14" s="50">
        <f>'Students Attendance'!C14</f>
        <v>1008</v>
      </c>
      <c r="D14" s="50" t="str">
        <f>'Students Attendance'!D14</f>
        <v>Ali9</v>
      </c>
      <c r="E14" s="15"/>
      <c r="F14" s="15"/>
      <c r="G14" s="15"/>
      <c r="H14" s="15"/>
      <c r="I14" s="15"/>
      <c r="J14" s="15"/>
      <c r="K14" s="51"/>
      <c r="L14" s="51"/>
      <c r="M14" s="51"/>
      <c r="N14" s="52"/>
      <c r="O14" s="15"/>
      <c r="P14" s="53"/>
      <c r="Q14" s="53"/>
      <c r="R14" s="53"/>
      <c r="U14" t="s">
        <v>180</v>
      </c>
    </row>
    <row r="15" spans="1:26" x14ac:dyDescent="0.3">
      <c r="A15" s="50" t="str">
        <f>'Students Attendance'!A15</f>
        <v>7TH</v>
      </c>
      <c r="B15" s="50">
        <f>'Students Attendance'!B15</f>
        <v>10</v>
      </c>
      <c r="C15" s="50">
        <f>'Students Attendance'!C15</f>
        <v>1009</v>
      </c>
      <c r="D15" s="50" t="str">
        <f>'Students Attendance'!D15</f>
        <v>Ali10</v>
      </c>
      <c r="E15" s="15"/>
      <c r="F15" s="15"/>
      <c r="G15" s="15"/>
      <c r="H15" s="15"/>
      <c r="I15" s="15"/>
      <c r="J15" s="15"/>
      <c r="K15" s="51"/>
      <c r="L15" s="51"/>
      <c r="M15" s="51"/>
      <c r="N15" s="52"/>
      <c r="O15" s="15"/>
      <c r="P15" s="53"/>
      <c r="Q15" s="53"/>
      <c r="R15" s="53"/>
      <c r="U15" t="s">
        <v>181</v>
      </c>
    </row>
    <row r="16" spans="1:26" x14ac:dyDescent="0.3">
      <c r="A16" s="50" t="str">
        <f>'Students Attendance'!A16</f>
        <v>7TH</v>
      </c>
      <c r="B16" s="50">
        <f>'Students Attendance'!B16</f>
        <v>11</v>
      </c>
      <c r="C16" s="50">
        <f>'Students Attendance'!C16</f>
        <v>1010</v>
      </c>
      <c r="D16" s="50" t="str">
        <f>'Students Attendance'!D16</f>
        <v>Ali11</v>
      </c>
      <c r="E16" s="15"/>
      <c r="F16" s="15"/>
      <c r="G16" s="15"/>
      <c r="H16" s="15"/>
      <c r="I16" s="15"/>
      <c r="J16" s="15"/>
      <c r="K16" s="51"/>
      <c r="L16" s="51"/>
      <c r="M16" s="51"/>
      <c r="N16" s="52"/>
      <c r="O16" s="15"/>
      <c r="P16" s="53"/>
      <c r="Q16" s="53"/>
      <c r="R16" s="53"/>
      <c r="U16" t="s">
        <v>182</v>
      </c>
    </row>
    <row r="17" spans="1:21" x14ac:dyDescent="0.3">
      <c r="A17" s="50" t="str">
        <f>'Students Attendance'!A17</f>
        <v>7TH</v>
      </c>
      <c r="B17" s="50">
        <f>'Students Attendance'!B17</f>
        <v>12</v>
      </c>
      <c r="C17" s="50">
        <f>'Students Attendance'!C17</f>
        <v>1011</v>
      </c>
      <c r="D17" s="50" t="str">
        <f>'Students Attendance'!D17</f>
        <v>Ali12</v>
      </c>
      <c r="E17" s="15"/>
      <c r="F17" s="15"/>
      <c r="G17" s="15"/>
      <c r="H17" s="15"/>
      <c r="I17" s="15"/>
      <c r="J17" s="15"/>
      <c r="K17" s="51"/>
      <c r="L17" s="51"/>
      <c r="M17" s="51"/>
      <c r="N17" s="52"/>
      <c r="O17" s="15"/>
      <c r="P17" s="53"/>
      <c r="Q17" s="53"/>
      <c r="R17" s="53"/>
      <c r="U17" t="s">
        <v>183</v>
      </c>
    </row>
    <row r="18" spans="1:21" x14ac:dyDescent="0.3">
      <c r="A18" s="50" t="str">
        <f>'Students Attendance'!A18</f>
        <v>7TH</v>
      </c>
      <c r="B18" s="50">
        <f>'Students Attendance'!B18</f>
        <v>13</v>
      </c>
      <c r="C18" s="50">
        <f>'Students Attendance'!C18</f>
        <v>1012</v>
      </c>
      <c r="D18" s="50" t="str">
        <f>'Students Attendance'!D18</f>
        <v>Ali13</v>
      </c>
      <c r="E18" s="15"/>
      <c r="F18" s="15"/>
      <c r="G18" s="15"/>
      <c r="H18" s="15"/>
      <c r="I18" s="15"/>
      <c r="J18" s="15"/>
      <c r="K18" s="51"/>
      <c r="L18" s="51"/>
      <c r="M18" s="51"/>
      <c r="N18" s="52"/>
      <c r="O18" s="15"/>
      <c r="P18" s="53"/>
      <c r="Q18" s="53"/>
      <c r="R18" s="53"/>
      <c r="U18" t="s">
        <v>184</v>
      </c>
    </row>
    <row r="19" spans="1:21" x14ac:dyDescent="0.3">
      <c r="A19" s="50" t="str">
        <f>'Students Attendance'!A19</f>
        <v>7TH</v>
      </c>
      <c r="B19" s="50">
        <f>'Students Attendance'!B19</f>
        <v>14</v>
      </c>
      <c r="C19" s="50">
        <f>'Students Attendance'!C19</f>
        <v>1013</v>
      </c>
      <c r="D19" s="50" t="str">
        <f>'Students Attendance'!D19</f>
        <v>Ali14</v>
      </c>
      <c r="E19" s="15"/>
      <c r="F19" s="15"/>
      <c r="G19" s="15"/>
      <c r="H19" s="15"/>
      <c r="I19" s="15"/>
      <c r="J19" s="15"/>
      <c r="K19" s="51"/>
      <c r="L19" s="51"/>
      <c r="M19" s="51"/>
      <c r="N19" s="52"/>
      <c r="O19" s="15"/>
      <c r="P19" s="53"/>
      <c r="Q19" s="53"/>
      <c r="R19" s="53"/>
      <c r="U19" t="s">
        <v>185</v>
      </c>
    </row>
    <row r="20" spans="1:21" x14ac:dyDescent="0.3">
      <c r="A20" s="50" t="str">
        <f>'Students Attendance'!A20</f>
        <v>7TH</v>
      </c>
      <c r="B20" s="50">
        <f>'Students Attendance'!B20</f>
        <v>15</v>
      </c>
      <c r="C20" s="50">
        <f>'Students Attendance'!C20</f>
        <v>1014</v>
      </c>
      <c r="D20" s="50" t="str">
        <f>'Students Attendance'!D20</f>
        <v>Ali15</v>
      </c>
      <c r="E20" s="15"/>
      <c r="F20" s="15"/>
      <c r="G20" s="15"/>
      <c r="H20" s="15"/>
      <c r="I20" s="15"/>
      <c r="J20" s="15"/>
      <c r="K20" s="51"/>
      <c r="L20" s="51"/>
      <c r="M20" s="51"/>
      <c r="N20" s="52"/>
      <c r="O20" s="15"/>
      <c r="P20" s="53"/>
      <c r="Q20" s="53"/>
      <c r="R20" s="53"/>
      <c r="U20" t="s">
        <v>186</v>
      </c>
    </row>
    <row r="21" spans="1:21" x14ac:dyDescent="0.3">
      <c r="A21" s="50" t="str">
        <f>'Students Attendance'!A21</f>
        <v>7TH</v>
      </c>
      <c r="B21" s="50">
        <f>'Students Attendance'!B21</f>
        <v>16</v>
      </c>
      <c r="C21" s="50">
        <f>'Students Attendance'!C21</f>
        <v>1015</v>
      </c>
      <c r="D21" s="50" t="str">
        <f>'Students Attendance'!D21</f>
        <v>Ali16</v>
      </c>
      <c r="E21" s="15"/>
      <c r="F21" s="15"/>
      <c r="G21" s="15"/>
      <c r="H21" s="15"/>
      <c r="I21" s="15"/>
      <c r="J21" s="15"/>
      <c r="K21" s="51"/>
      <c r="L21" s="51"/>
      <c r="M21" s="51"/>
      <c r="N21" s="52"/>
      <c r="O21" s="15"/>
      <c r="P21" s="53"/>
      <c r="Q21" s="53"/>
      <c r="R21" s="53"/>
      <c r="U21" t="s">
        <v>187</v>
      </c>
    </row>
    <row r="22" spans="1:21" x14ac:dyDescent="0.3">
      <c r="A22" s="50" t="str">
        <f>'Students Attendance'!A22</f>
        <v>7TH</v>
      </c>
      <c r="B22" s="50">
        <f>'Students Attendance'!B22</f>
        <v>17</v>
      </c>
      <c r="C22" s="50">
        <f>'Students Attendance'!C22</f>
        <v>1016</v>
      </c>
      <c r="D22" s="50" t="str">
        <f>'Students Attendance'!D22</f>
        <v>Ali17</v>
      </c>
      <c r="E22" s="15"/>
      <c r="F22" s="15"/>
      <c r="G22" s="15"/>
      <c r="H22" s="15"/>
      <c r="I22" s="15"/>
      <c r="J22" s="15"/>
      <c r="K22" s="51"/>
      <c r="L22" s="51"/>
      <c r="M22" s="51"/>
      <c r="N22" s="52"/>
      <c r="O22" s="15"/>
      <c r="P22" s="53"/>
      <c r="Q22" s="53"/>
      <c r="R22" s="53"/>
      <c r="U22" t="s">
        <v>188</v>
      </c>
    </row>
    <row r="23" spans="1:21" x14ac:dyDescent="0.3">
      <c r="A23" s="50" t="str">
        <f>'Students Attendance'!A23</f>
        <v>7TH</v>
      </c>
      <c r="B23" s="50">
        <f>'Students Attendance'!B23</f>
        <v>18</v>
      </c>
      <c r="C23" s="50">
        <f>'Students Attendance'!C23</f>
        <v>1017</v>
      </c>
      <c r="D23" s="50" t="str">
        <f>'Students Attendance'!D23</f>
        <v>Ali18</v>
      </c>
      <c r="E23" s="15"/>
      <c r="F23" s="15"/>
      <c r="G23" s="15"/>
      <c r="H23" s="15"/>
      <c r="I23" s="15"/>
      <c r="J23" s="15"/>
      <c r="K23" s="51"/>
      <c r="L23" s="51"/>
      <c r="M23" s="51"/>
      <c r="N23" s="52"/>
      <c r="O23" s="15"/>
      <c r="P23" s="53"/>
      <c r="Q23" s="53"/>
      <c r="R23" s="53"/>
      <c r="U23" t="s">
        <v>189</v>
      </c>
    </row>
    <row r="24" spans="1:21" x14ac:dyDescent="0.3">
      <c r="A24" s="50" t="str">
        <f>'Students Attendance'!A24</f>
        <v>7TH</v>
      </c>
      <c r="B24" s="50">
        <f>'Students Attendance'!B24</f>
        <v>19</v>
      </c>
      <c r="C24" s="50">
        <f>'Students Attendance'!C24</f>
        <v>1018</v>
      </c>
      <c r="D24" s="50" t="str">
        <f>'Students Attendance'!D24</f>
        <v>Ali19</v>
      </c>
      <c r="E24" s="15"/>
      <c r="F24" s="15"/>
      <c r="G24" s="15"/>
      <c r="H24" s="15"/>
      <c r="I24" s="15"/>
      <c r="J24" s="15"/>
      <c r="K24" s="51"/>
      <c r="L24" s="51"/>
      <c r="M24" s="51"/>
      <c r="N24" s="52"/>
      <c r="O24" s="15"/>
      <c r="P24" s="53"/>
      <c r="Q24" s="53"/>
      <c r="R24" s="53"/>
      <c r="U24" t="s">
        <v>190</v>
      </c>
    </row>
    <row r="25" spans="1:21" x14ac:dyDescent="0.3">
      <c r="A25" s="50" t="str">
        <f>'Students Attendance'!A25</f>
        <v>7TH</v>
      </c>
      <c r="B25" s="50">
        <f>'Students Attendance'!B25</f>
        <v>20</v>
      </c>
      <c r="C25" s="50">
        <f>'Students Attendance'!C25</f>
        <v>1019</v>
      </c>
      <c r="D25" s="50" t="str">
        <f>'Students Attendance'!D25</f>
        <v>Ali20</v>
      </c>
      <c r="E25" s="15"/>
      <c r="F25" s="15"/>
      <c r="G25" s="15"/>
      <c r="H25" s="15"/>
      <c r="I25" s="15"/>
      <c r="J25" s="15"/>
      <c r="K25" s="51"/>
      <c r="L25" s="51"/>
      <c r="M25" s="51"/>
      <c r="N25" s="52"/>
      <c r="O25" s="15"/>
      <c r="P25" s="53"/>
      <c r="Q25" s="53"/>
      <c r="R25" s="53"/>
      <c r="U25" t="s">
        <v>191</v>
      </c>
    </row>
    <row r="26" spans="1:21" x14ac:dyDescent="0.3">
      <c r="A26" s="50" t="str">
        <f>'Students Attendance'!A26</f>
        <v>7TH</v>
      </c>
      <c r="B26" s="50">
        <f>'Students Attendance'!B26</f>
        <v>21</v>
      </c>
      <c r="C26" s="50">
        <f>'Students Attendance'!C26</f>
        <v>1020</v>
      </c>
      <c r="D26" s="50" t="str">
        <f>'Students Attendance'!D26</f>
        <v>Ali21</v>
      </c>
      <c r="E26" s="15"/>
      <c r="F26" s="15"/>
      <c r="G26" s="15"/>
      <c r="H26" s="15"/>
      <c r="I26" s="15"/>
      <c r="J26" s="15"/>
      <c r="K26" s="51"/>
      <c r="L26" s="51"/>
      <c r="M26" s="51"/>
      <c r="N26" s="52"/>
      <c r="O26" s="15"/>
      <c r="P26" s="53"/>
      <c r="Q26" s="53"/>
      <c r="R26" s="53"/>
    </row>
    <row r="27" spans="1:21" x14ac:dyDescent="0.3">
      <c r="A27" s="50" t="str">
        <f>'Students Attendance'!A27</f>
        <v>7TH</v>
      </c>
      <c r="B27" s="50">
        <f>'Students Attendance'!B27</f>
        <v>22</v>
      </c>
      <c r="C27" s="50">
        <f>'Students Attendance'!C27</f>
        <v>1021</v>
      </c>
      <c r="D27" s="50" t="str">
        <f>'Students Attendance'!D27</f>
        <v>Ali22</v>
      </c>
      <c r="E27" s="15"/>
      <c r="F27" s="15"/>
      <c r="G27" s="15"/>
      <c r="H27" s="15"/>
      <c r="I27" s="15"/>
      <c r="J27" s="15"/>
      <c r="K27" s="51"/>
      <c r="L27" s="51"/>
      <c r="M27" s="51"/>
      <c r="N27" s="52"/>
      <c r="O27" s="15"/>
      <c r="P27" s="53"/>
      <c r="Q27" s="53"/>
      <c r="R27" s="53"/>
    </row>
    <row r="28" spans="1:21" x14ac:dyDescent="0.3">
      <c r="A28" s="50" t="str">
        <f>'Students Attendance'!A28</f>
        <v>7TH</v>
      </c>
      <c r="B28" s="50">
        <f>'Students Attendance'!B28</f>
        <v>23</v>
      </c>
      <c r="C28" s="50">
        <f>'Students Attendance'!C28</f>
        <v>1022</v>
      </c>
      <c r="D28" s="50" t="str">
        <f>'Students Attendance'!D28</f>
        <v>Ali23</v>
      </c>
      <c r="E28" s="15"/>
      <c r="F28" s="15"/>
      <c r="G28" s="15"/>
      <c r="H28" s="15"/>
      <c r="I28" s="15"/>
      <c r="J28" s="15"/>
      <c r="K28" s="51"/>
      <c r="L28" s="51"/>
      <c r="M28" s="51"/>
      <c r="N28" s="52"/>
      <c r="O28" s="15"/>
      <c r="P28" s="53"/>
      <c r="Q28" s="53"/>
      <c r="R28" s="53"/>
    </row>
    <row r="29" spans="1:21" x14ac:dyDescent="0.3">
      <c r="A29" s="50" t="str">
        <f>'Students Attendance'!A29</f>
        <v>7TH</v>
      </c>
      <c r="B29" s="50">
        <f>'Students Attendance'!B29</f>
        <v>24</v>
      </c>
      <c r="C29" s="50">
        <f>'Students Attendance'!C29</f>
        <v>1023</v>
      </c>
      <c r="D29" s="50" t="str">
        <f>'Students Attendance'!D29</f>
        <v>Ali24</v>
      </c>
      <c r="E29" s="15"/>
      <c r="F29" s="15"/>
      <c r="G29" s="15"/>
      <c r="H29" s="15"/>
      <c r="I29" s="15"/>
      <c r="J29" s="15"/>
      <c r="K29" s="51"/>
      <c r="L29" s="51"/>
      <c r="M29" s="51"/>
      <c r="N29" s="52"/>
      <c r="O29" s="15"/>
      <c r="P29" s="53"/>
      <c r="Q29" s="53"/>
      <c r="R29" s="53"/>
    </row>
    <row r="30" spans="1:21" x14ac:dyDescent="0.3">
      <c r="A30" s="50" t="str">
        <f>'Students Attendance'!A30</f>
        <v>7TH</v>
      </c>
      <c r="B30" s="50">
        <f>'Students Attendance'!B30</f>
        <v>25</v>
      </c>
      <c r="C30" s="50">
        <f>'Students Attendance'!C30</f>
        <v>1024</v>
      </c>
      <c r="D30" s="50" t="str">
        <f>'Students Attendance'!D30</f>
        <v>Ali25</v>
      </c>
      <c r="E30" s="15"/>
      <c r="F30" s="15"/>
      <c r="G30" s="15"/>
      <c r="H30" s="15"/>
      <c r="I30" s="15"/>
      <c r="J30" s="15"/>
      <c r="K30" s="51"/>
      <c r="L30" s="51"/>
      <c r="M30" s="51"/>
      <c r="N30" s="52"/>
      <c r="O30" s="15"/>
      <c r="P30" s="53"/>
      <c r="Q30" s="53"/>
      <c r="R30" s="53"/>
    </row>
    <row r="31" spans="1:21" x14ac:dyDescent="0.3">
      <c r="A31" s="50" t="str">
        <f>'Students Attendance'!A31</f>
        <v>7TH</v>
      </c>
      <c r="B31" s="50">
        <f>'Students Attendance'!B31</f>
        <v>26</v>
      </c>
      <c r="C31" s="50">
        <f>'Students Attendance'!C31</f>
        <v>1025</v>
      </c>
      <c r="D31" s="50" t="str">
        <f>'Students Attendance'!D31</f>
        <v>Ali26</v>
      </c>
      <c r="E31" s="15"/>
      <c r="F31" s="15"/>
      <c r="G31" s="15"/>
      <c r="H31" s="15"/>
      <c r="I31" s="15"/>
      <c r="J31" s="15"/>
      <c r="K31" s="51"/>
      <c r="L31" s="51"/>
      <c r="M31" s="51"/>
      <c r="N31" s="52"/>
      <c r="O31" s="15"/>
      <c r="P31" s="53"/>
      <c r="Q31" s="53"/>
      <c r="R31" s="53"/>
    </row>
    <row r="32" spans="1:21" x14ac:dyDescent="0.3">
      <c r="A32" s="50" t="str">
        <f>'Students Attendance'!A32</f>
        <v>7TH</v>
      </c>
      <c r="B32" s="50">
        <f>'Students Attendance'!B32</f>
        <v>27</v>
      </c>
      <c r="C32" s="50">
        <f>'Students Attendance'!C32</f>
        <v>1026</v>
      </c>
      <c r="D32" s="50" t="str">
        <f>'Students Attendance'!D32</f>
        <v>Ali27</v>
      </c>
      <c r="E32" s="15"/>
      <c r="F32" s="15"/>
      <c r="G32" s="15"/>
      <c r="H32" s="15"/>
      <c r="I32" s="15"/>
      <c r="J32" s="15"/>
      <c r="K32" s="51"/>
      <c r="L32" s="51"/>
      <c r="M32" s="51"/>
      <c r="N32" s="52"/>
      <c r="O32" s="15"/>
      <c r="P32" s="53"/>
      <c r="Q32" s="53"/>
      <c r="R32" s="53"/>
    </row>
    <row r="33" spans="1:18" x14ac:dyDescent="0.3">
      <c r="A33" s="50" t="str">
        <f>'Students Attendance'!A33</f>
        <v>7TH</v>
      </c>
      <c r="B33" s="50">
        <f>'Students Attendance'!B33</f>
        <v>28</v>
      </c>
      <c r="C33" s="50">
        <f>'Students Attendance'!C33</f>
        <v>1027</v>
      </c>
      <c r="D33" s="50" t="str">
        <f>'Students Attendance'!D33</f>
        <v>Ali28</v>
      </c>
      <c r="E33" s="15"/>
      <c r="F33" s="15"/>
      <c r="G33" s="15"/>
      <c r="H33" s="15"/>
      <c r="I33" s="15"/>
      <c r="J33" s="15"/>
      <c r="K33" s="51"/>
      <c r="L33" s="51"/>
      <c r="M33" s="51"/>
      <c r="N33" s="52"/>
      <c r="O33" s="15"/>
      <c r="P33" s="53"/>
      <c r="Q33" s="53"/>
      <c r="R33" s="53"/>
    </row>
    <row r="34" spans="1:18" x14ac:dyDescent="0.3">
      <c r="A34" s="50" t="str">
        <f>'Students Attendance'!A34</f>
        <v>7TH</v>
      </c>
      <c r="B34" s="50">
        <f>'Students Attendance'!B34</f>
        <v>29</v>
      </c>
      <c r="C34" s="50">
        <f>'Students Attendance'!C34</f>
        <v>1028</v>
      </c>
      <c r="D34" s="50" t="str">
        <f>'Students Attendance'!D34</f>
        <v>Ali29</v>
      </c>
      <c r="E34" s="15"/>
      <c r="F34" s="15"/>
      <c r="G34" s="15"/>
      <c r="H34" s="15"/>
      <c r="I34" s="15"/>
      <c r="J34" s="15"/>
      <c r="K34" s="51"/>
      <c r="L34" s="51"/>
      <c r="M34" s="51"/>
      <c r="N34" s="52"/>
      <c r="O34" s="15"/>
      <c r="P34" s="53"/>
      <c r="Q34" s="53"/>
      <c r="R34" s="53"/>
    </row>
    <row r="35" spans="1:18" x14ac:dyDescent="0.3">
      <c r="A35" s="50" t="str">
        <f>'Students Attendance'!A35</f>
        <v>7TH</v>
      </c>
      <c r="B35" s="50">
        <f>'Students Attendance'!B35</f>
        <v>30</v>
      </c>
      <c r="C35" s="50">
        <f>'Students Attendance'!C35</f>
        <v>1029</v>
      </c>
      <c r="D35" s="50" t="str">
        <f>'Students Attendance'!D35</f>
        <v>Ali30</v>
      </c>
      <c r="E35" s="15"/>
      <c r="F35" s="15"/>
      <c r="G35" s="15"/>
      <c r="H35" s="15"/>
      <c r="I35" s="15"/>
      <c r="J35" s="15"/>
      <c r="K35" s="51"/>
      <c r="L35" s="51"/>
      <c r="M35" s="51"/>
      <c r="N35" s="52"/>
      <c r="O35" s="15"/>
      <c r="P35" s="53"/>
      <c r="Q35" s="53"/>
      <c r="R35" s="53"/>
    </row>
    <row r="36" spans="1:18" x14ac:dyDescent="0.3">
      <c r="A36" s="50" t="str">
        <f>'Students Attendance'!A36</f>
        <v>7TH</v>
      </c>
      <c r="B36" s="50">
        <f>'Students Attendance'!B36</f>
        <v>31</v>
      </c>
      <c r="C36" s="50">
        <f>'Students Attendance'!C36</f>
        <v>1030</v>
      </c>
      <c r="D36" s="50" t="str">
        <f>'Students Attendance'!D36</f>
        <v>Ali31</v>
      </c>
      <c r="E36" s="15"/>
      <c r="F36" s="15"/>
      <c r="G36" s="15"/>
      <c r="H36" s="15"/>
      <c r="I36" s="15"/>
      <c r="J36" s="15"/>
      <c r="K36" s="51"/>
      <c r="L36" s="51"/>
      <c r="M36" s="51"/>
      <c r="N36" s="52"/>
      <c r="O36" s="15"/>
      <c r="P36" s="53"/>
      <c r="Q36" s="53"/>
      <c r="R36" s="53"/>
    </row>
    <row r="37" spans="1:18" x14ac:dyDescent="0.3">
      <c r="A37" s="50" t="str">
        <f>'Students Attendance'!A37</f>
        <v>7TH</v>
      </c>
      <c r="B37" s="50">
        <f>'Students Attendance'!B37</f>
        <v>32</v>
      </c>
      <c r="C37" s="50">
        <f>'Students Attendance'!C37</f>
        <v>1031</v>
      </c>
      <c r="D37" s="50" t="str">
        <f>'Students Attendance'!D37</f>
        <v>Ali32</v>
      </c>
      <c r="E37" s="15"/>
      <c r="F37" s="15"/>
      <c r="G37" s="15"/>
      <c r="H37" s="15"/>
      <c r="I37" s="15"/>
      <c r="J37" s="15"/>
      <c r="K37" s="51"/>
      <c r="L37" s="51"/>
      <c r="M37" s="51"/>
      <c r="N37" s="52"/>
      <c r="O37" s="15"/>
      <c r="P37" s="53"/>
      <c r="Q37" s="53"/>
      <c r="R37" s="53"/>
    </row>
    <row r="38" spans="1:18" x14ac:dyDescent="0.3">
      <c r="A38" s="50" t="str">
        <f>'Students Attendance'!A38</f>
        <v>7TH</v>
      </c>
      <c r="B38" s="50">
        <f>'Students Attendance'!B38</f>
        <v>33</v>
      </c>
      <c r="C38" s="50">
        <f>'Students Attendance'!C38</f>
        <v>1032</v>
      </c>
      <c r="D38" s="50" t="str">
        <f>'Students Attendance'!D38</f>
        <v>Ali33</v>
      </c>
      <c r="E38" s="15"/>
      <c r="F38" s="15"/>
      <c r="G38" s="15"/>
      <c r="H38" s="15"/>
      <c r="I38" s="15"/>
      <c r="J38" s="15"/>
      <c r="K38" s="51"/>
      <c r="L38" s="51"/>
      <c r="M38" s="51"/>
      <c r="N38" s="52"/>
      <c r="O38" s="15"/>
      <c r="P38" s="53"/>
      <c r="Q38" s="53"/>
      <c r="R38" s="53"/>
    </row>
    <row r="39" spans="1:18" x14ac:dyDescent="0.3">
      <c r="A39" s="50" t="str">
        <f>'Students Attendance'!A39</f>
        <v>7TH</v>
      </c>
      <c r="B39" s="50">
        <f>'Students Attendance'!B39</f>
        <v>34</v>
      </c>
      <c r="C39" s="50">
        <f>'Students Attendance'!C39</f>
        <v>1033</v>
      </c>
      <c r="D39" s="50" t="str">
        <f>'Students Attendance'!D39</f>
        <v>Ali34</v>
      </c>
      <c r="E39" s="15"/>
      <c r="F39" s="15"/>
      <c r="G39" s="15"/>
      <c r="H39" s="15"/>
      <c r="I39" s="15"/>
      <c r="J39" s="15"/>
      <c r="K39" s="51"/>
      <c r="L39" s="51"/>
      <c r="M39" s="51"/>
      <c r="N39" s="52"/>
      <c r="O39" s="15"/>
      <c r="P39" s="53"/>
      <c r="Q39" s="53"/>
      <c r="R39" s="53"/>
    </row>
  </sheetData>
  <mergeCells count="19">
    <mergeCell ref="Q3:Q5"/>
    <mergeCell ref="R3:R5"/>
    <mergeCell ref="K3:K5"/>
    <mergeCell ref="L3:L5"/>
    <mergeCell ref="M3:M5"/>
    <mergeCell ref="N3:N5"/>
    <mergeCell ref="O3:O5"/>
    <mergeCell ref="P3:P5"/>
    <mergeCell ref="A1:J2"/>
    <mergeCell ref="A3:A5"/>
    <mergeCell ref="B3:B5"/>
    <mergeCell ref="C3:C5"/>
    <mergeCell ref="D3:D5"/>
    <mergeCell ref="E3:E5"/>
    <mergeCell ref="F3:F5"/>
    <mergeCell ref="G3:G5"/>
    <mergeCell ref="I3:I5"/>
    <mergeCell ref="J3:J5"/>
    <mergeCell ref="H3:H5"/>
  </mergeCells>
  <dataValidations count="7">
    <dataValidation type="list" allowBlank="1" showInputMessage="1" showErrorMessage="1" sqref="WVZ983019:WVZ983118 JN6:JN78 TJ6:TJ78 ADF6:ADF78 ANB6:ANB78 AWX6:AWX78 BGT6:BGT78 BQP6:BQP78 CAL6:CAL78 CKH6:CKH78 CUD6:CUD78 DDZ6:DDZ78 DNV6:DNV78 DXR6:DXR78 EHN6:EHN78 ERJ6:ERJ78 FBF6:FBF78 FLB6:FLB78 FUX6:FUX78 GET6:GET78 GOP6:GOP78 GYL6:GYL78 HIH6:HIH78 HSD6:HSD78 IBZ6:IBZ78 ILV6:ILV78 IVR6:IVR78 JFN6:JFN78 JPJ6:JPJ78 JZF6:JZF78 KJB6:KJB78 KSX6:KSX78 LCT6:LCT78 LMP6:LMP78 LWL6:LWL78 MGH6:MGH78 MQD6:MQD78 MZZ6:MZZ78 NJV6:NJV78 NTR6:NTR78 ODN6:ODN78 ONJ6:ONJ78 OXF6:OXF78 PHB6:PHB78 PQX6:PQX78 QAT6:QAT78 QKP6:QKP78 QUL6:QUL78 REH6:REH78 ROD6:ROD78 RXZ6:RXZ78 SHV6:SHV78 SRR6:SRR78 TBN6:TBN78 TLJ6:TLJ78 TVF6:TVF78 UFB6:UFB78 UOX6:UOX78 UYT6:UYT78 VIP6:VIP78 VSL6:VSL78 WCH6:WCH78 WMD6:WMD78 WVZ6:WVZ78 R6:R39 WMD983019:WMD983118 WCH983019:WCH983118 VSL983019:VSL983118 VIP983019:VIP983118 UYT983019:UYT983118 UOX983019:UOX983118 UFB983019:UFB983118 TVF983019:TVF983118 TLJ983019:TLJ983118 TBN983019:TBN983118 SRR983019:SRR983118 SHV983019:SHV983118 RXZ983019:RXZ983118 ROD983019:ROD983118 REH983019:REH983118 QUL983019:QUL983118 QKP983019:QKP983118 QAT983019:QAT983118 PQX983019:PQX983118 PHB983019:PHB983118 OXF983019:OXF983118 ONJ983019:ONJ983118 ODN983019:ODN983118 NTR983019:NTR983118 NJV983019:NJV983118 MZZ983019:MZZ983118 MQD983019:MQD983118 MGH983019:MGH983118 LWL983019:LWL983118 LMP983019:LMP983118 LCT983019:LCT983118 KSX983019:KSX983118 KJB983019:KJB983118 JZF983019:JZF983118 JPJ983019:JPJ983118 JFN983019:JFN983118 IVR983019:IVR983118 ILV983019:ILV983118 IBZ983019:IBZ983118 HSD983019:HSD983118 HIH983019:HIH983118 GYL983019:GYL983118 GOP983019:GOP983118 GET983019:GET983118 FUX983019:FUX983118 FLB983019:FLB983118 FBF983019:FBF983118 ERJ983019:ERJ983118 EHN983019:EHN983118 DXR983019:DXR983118 DNV983019:DNV983118 DDZ983019:DDZ983118 CUD983019:CUD983118 CKH983019:CKH983118 CAL983019:CAL983118 BQP983019:BQP983118 BGT983019:BGT983118 AWX983019:AWX983118 ANB983019:ANB983118 ADF983019:ADF983118 TJ983019:TJ983118 JN983019:JN983118 R983019:R983118 WVZ917483:WVZ917582 WMD917483:WMD917582 WCH917483:WCH917582 VSL917483:VSL917582 VIP917483:VIP917582 UYT917483:UYT917582 UOX917483:UOX917582 UFB917483:UFB917582 TVF917483:TVF917582 TLJ917483:TLJ917582 TBN917483:TBN917582 SRR917483:SRR917582 SHV917483:SHV917582 RXZ917483:RXZ917582 ROD917483:ROD917582 REH917483:REH917582 QUL917483:QUL917582 QKP917483:QKP917582 QAT917483:QAT917582 PQX917483:PQX917582 PHB917483:PHB917582 OXF917483:OXF917582 ONJ917483:ONJ917582 ODN917483:ODN917582 NTR917483:NTR917582 NJV917483:NJV917582 MZZ917483:MZZ917582 MQD917483:MQD917582 MGH917483:MGH917582 LWL917483:LWL917582 LMP917483:LMP917582 LCT917483:LCT917582 KSX917483:KSX917582 KJB917483:KJB917582 JZF917483:JZF917582 JPJ917483:JPJ917582 JFN917483:JFN917582 IVR917483:IVR917582 ILV917483:ILV917582 IBZ917483:IBZ917582 HSD917483:HSD917582 HIH917483:HIH917582 GYL917483:GYL917582 GOP917483:GOP917582 GET917483:GET917582 FUX917483:FUX917582 FLB917483:FLB917582 FBF917483:FBF917582 ERJ917483:ERJ917582 EHN917483:EHN917582 DXR917483:DXR917582 DNV917483:DNV917582 DDZ917483:DDZ917582 CUD917483:CUD917582 CKH917483:CKH917582 CAL917483:CAL917582 BQP917483:BQP917582 BGT917483:BGT917582 AWX917483:AWX917582 ANB917483:ANB917582 ADF917483:ADF917582 TJ917483:TJ917582 JN917483:JN917582 R917483:R917582 WVZ851947:WVZ852046 WMD851947:WMD852046 WCH851947:WCH852046 VSL851947:VSL852046 VIP851947:VIP852046 UYT851947:UYT852046 UOX851947:UOX852046 UFB851947:UFB852046 TVF851947:TVF852046 TLJ851947:TLJ852046 TBN851947:TBN852046 SRR851947:SRR852046 SHV851947:SHV852046 RXZ851947:RXZ852046 ROD851947:ROD852046 REH851947:REH852046 QUL851947:QUL852046 QKP851947:QKP852046 QAT851947:QAT852046 PQX851947:PQX852046 PHB851947:PHB852046 OXF851947:OXF852046 ONJ851947:ONJ852046 ODN851947:ODN852046 NTR851947:NTR852046 NJV851947:NJV852046 MZZ851947:MZZ852046 MQD851947:MQD852046 MGH851947:MGH852046 LWL851947:LWL852046 LMP851947:LMP852046 LCT851947:LCT852046 KSX851947:KSX852046 KJB851947:KJB852046 JZF851947:JZF852046 JPJ851947:JPJ852046 JFN851947:JFN852046 IVR851947:IVR852046 ILV851947:ILV852046 IBZ851947:IBZ852046 HSD851947:HSD852046 HIH851947:HIH852046 GYL851947:GYL852046 GOP851947:GOP852046 GET851947:GET852046 FUX851947:FUX852046 FLB851947:FLB852046 FBF851947:FBF852046 ERJ851947:ERJ852046 EHN851947:EHN852046 DXR851947:DXR852046 DNV851947:DNV852046 DDZ851947:DDZ852046 CUD851947:CUD852046 CKH851947:CKH852046 CAL851947:CAL852046 BQP851947:BQP852046 BGT851947:BGT852046 AWX851947:AWX852046 ANB851947:ANB852046 ADF851947:ADF852046 TJ851947:TJ852046 JN851947:JN852046 R851947:R852046 WVZ786411:WVZ786510 WMD786411:WMD786510 WCH786411:WCH786510 VSL786411:VSL786510 VIP786411:VIP786510 UYT786411:UYT786510 UOX786411:UOX786510 UFB786411:UFB786510 TVF786411:TVF786510 TLJ786411:TLJ786510 TBN786411:TBN786510 SRR786411:SRR786510 SHV786411:SHV786510 RXZ786411:RXZ786510 ROD786411:ROD786510 REH786411:REH786510 QUL786411:QUL786510 QKP786411:QKP786510 QAT786411:QAT786510 PQX786411:PQX786510 PHB786411:PHB786510 OXF786411:OXF786510 ONJ786411:ONJ786510 ODN786411:ODN786510 NTR786411:NTR786510 NJV786411:NJV786510 MZZ786411:MZZ786510 MQD786411:MQD786510 MGH786411:MGH786510 LWL786411:LWL786510 LMP786411:LMP786510 LCT786411:LCT786510 KSX786411:KSX786510 KJB786411:KJB786510 JZF786411:JZF786510 JPJ786411:JPJ786510 JFN786411:JFN786510 IVR786411:IVR786510 ILV786411:ILV786510 IBZ786411:IBZ786510 HSD786411:HSD786510 HIH786411:HIH786510 GYL786411:GYL786510 GOP786411:GOP786510 GET786411:GET786510 FUX786411:FUX786510 FLB786411:FLB786510 FBF786411:FBF786510 ERJ786411:ERJ786510 EHN786411:EHN786510 DXR786411:DXR786510 DNV786411:DNV786510 DDZ786411:DDZ786510 CUD786411:CUD786510 CKH786411:CKH786510 CAL786411:CAL786510 BQP786411:BQP786510 BGT786411:BGT786510 AWX786411:AWX786510 ANB786411:ANB786510 ADF786411:ADF786510 TJ786411:TJ786510 JN786411:JN786510 R786411:R786510 WVZ720875:WVZ720974 WMD720875:WMD720974 WCH720875:WCH720974 VSL720875:VSL720974 VIP720875:VIP720974 UYT720875:UYT720974 UOX720875:UOX720974 UFB720875:UFB720974 TVF720875:TVF720974 TLJ720875:TLJ720974 TBN720875:TBN720974 SRR720875:SRR720974 SHV720875:SHV720974 RXZ720875:RXZ720974 ROD720875:ROD720974 REH720875:REH720974 QUL720875:QUL720974 QKP720875:QKP720974 QAT720875:QAT720974 PQX720875:PQX720974 PHB720875:PHB720974 OXF720875:OXF720974 ONJ720875:ONJ720974 ODN720875:ODN720974 NTR720875:NTR720974 NJV720875:NJV720974 MZZ720875:MZZ720974 MQD720875:MQD720974 MGH720875:MGH720974 LWL720875:LWL720974 LMP720875:LMP720974 LCT720875:LCT720974 KSX720875:KSX720974 KJB720875:KJB720974 JZF720875:JZF720974 JPJ720875:JPJ720974 JFN720875:JFN720974 IVR720875:IVR720974 ILV720875:ILV720974 IBZ720875:IBZ720974 HSD720875:HSD720974 HIH720875:HIH720974 GYL720875:GYL720974 GOP720875:GOP720974 GET720875:GET720974 FUX720875:FUX720974 FLB720875:FLB720974 FBF720875:FBF720974 ERJ720875:ERJ720974 EHN720875:EHN720974 DXR720875:DXR720974 DNV720875:DNV720974 DDZ720875:DDZ720974 CUD720875:CUD720974 CKH720875:CKH720974 CAL720875:CAL720974 BQP720875:BQP720974 BGT720875:BGT720974 AWX720875:AWX720974 ANB720875:ANB720974 ADF720875:ADF720974 TJ720875:TJ720974 JN720875:JN720974 R720875:R720974 WVZ655339:WVZ655438 WMD655339:WMD655438 WCH655339:WCH655438 VSL655339:VSL655438 VIP655339:VIP655438 UYT655339:UYT655438 UOX655339:UOX655438 UFB655339:UFB655438 TVF655339:TVF655438 TLJ655339:TLJ655438 TBN655339:TBN655438 SRR655339:SRR655438 SHV655339:SHV655438 RXZ655339:RXZ655438 ROD655339:ROD655438 REH655339:REH655438 QUL655339:QUL655438 QKP655339:QKP655438 QAT655339:QAT655438 PQX655339:PQX655438 PHB655339:PHB655438 OXF655339:OXF655438 ONJ655339:ONJ655438 ODN655339:ODN655438 NTR655339:NTR655438 NJV655339:NJV655438 MZZ655339:MZZ655438 MQD655339:MQD655438 MGH655339:MGH655438 LWL655339:LWL655438 LMP655339:LMP655438 LCT655339:LCT655438 KSX655339:KSX655438 KJB655339:KJB655438 JZF655339:JZF655438 JPJ655339:JPJ655438 JFN655339:JFN655438 IVR655339:IVR655438 ILV655339:ILV655438 IBZ655339:IBZ655438 HSD655339:HSD655438 HIH655339:HIH655438 GYL655339:GYL655438 GOP655339:GOP655438 GET655339:GET655438 FUX655339:FUX655438 FLB655339:FLB655438 FBF655339:FBF655438 ERJ655339:ERJ655438 EHN655339:EHN655438 DXR655339:DXR655438 DNV655339:DNV655438 DDZ655339:DDZ655438 CUD655339:CUD655438 CKH655339:CKH655438 CAL655339:CAL655438 BQP655339:BQP655438 BGT655339:BGT655438 AWX655339:AWX655438 ANB655339:ANB655438 ADF655339:ADF655438 TJ655339:TJ655438 JN655339:JN655438 R655339:R655438 WVZ589803:WVZ589902 WMD589803:WMD589902 WCH589803:WCH589902 VSL589803:VSL589902 VIP589803:VIP589902 UYT589803:UYT589902 UOX589803:UOX589902 UFB589803:UFB589902 TVF589803:TVF589902 TLJ589803:TLJ589902 TBN589803:TBN589902 SRR589803:SRR589902 SHV589803:SHV589902 RXZ589803:RXZ589902 ROD589803:ROD589902 REH589803:REH589902 QUL589803:QUL589902 QKP589803:QKP589902 QAT589803:QAT589902 PQX589803:PQX589902 PHB589803:PHB589902 OXF589803:OXF589902 ONJ589803:ONJ589902 ODN589803:ODN589902 NTR589803:NTR589902 NJV589803:NJV589902 MZZ589803:MZZ589902 MQD589803:MQD589902 MGH589803:MGH589902 LWL589803:LWL589902 LMP589803:LMP589902 LCT589803:LCT589902 KSX589803:KSX589902 KJB589803:KJB589902 JZF589803:JZF589902 JPJ589803:JPJ589902 JFN589803:JFN589902 IVR589803:IVR589902 ILV589803:ILV589902 IBZ589803:IBZ589902 HSD589803:HSD589902 HIH589803:HIH589902 GYL589803:GYL589902 GOP589803:GOP589902 GET589803:GET589902 FUX589803:FUX589902 FLB589803:FLB589902 FBF589803:FBF589902 ERJ589803:ERJ589902 EHN589803:EHN589902 DXR589803:DXR589902 DNV589803:DNV589902 DDZ589803:DDZ589902 CUD589803:CUD589902 CKH589803:CKH589902 CAL589803:CAL589902 BQP589803:BQP589902 BGT589803:BGT589902 AWX589803:AWX589902 ANB589803:ANB589902 ADF589803:ADF589902 TJ589803:TJ589902 JN589803:JN589902 R589803:R589902 WVZ524267:WVZ524366 WMD524267:WMD524366 WCH524267:WCH524366 VSL524267:VSL524366 VIP524267:VIP524366 UYT524267:UYT524366 UOX524267:UOX524366 UFB524267:UFB524366 TVF524267:TVF524366 TLJ524267:TLJ524366 TBN524267:TBN524366 SRR524267:SRR524366 SHV524267:SHV524366 RXZ524267:RXZ524366 ROD524267:ROD524366 REH524267:REH524366 QUL524267:QUL524366 QKP524267:QKP524366 QAT524267:QAT524366 PQX524267:PQX524366 PHB524267:PHB524366 OXF524267:OXF524366 ONJ524267:ONJ524366 ODN524267:ODN524366 NTR524267:NTR524366 NJV524267:NJV524366 MZZ524267:MZZ524366 MQD524267:MQD524366 MGH524267:MGH524366 LWL524267:LWL524366 LMP524267:LMP524366 LCT524267:LCT524366 KSX524267:KSX524366 KJB524267:KJB524366 JZF524267:JZF524366 JPJ524267:JPJ524366 JFN524267:JFN524366 IVR524267:IVR524366 ILV524267:ILV524366 IBZ524267:IBZ524366 HSD524267:HSD524366 HIH524267:HIH524366 GYL524267:GYL524366 GOP524267:GOP524366 GET524267:GET524366 FUX524267:FUX524366 FLB524267:FLB524366 FBF524267:FBF524366 ERJ524267:ERJ524366 EHN524267:EHN524366 DXR524267:DXR524366 DNV524267:DNV524366 DDZ524267:DDZ524366 CUD524267:CUD524366 CKH524267:CKH524366 CAL524267:CAL524366 BQP524267:BQP524366 BGT524267:BGT524366 AWX524267:AWX524366 ANB524267:ANB524366 ADF524267:ADF524366 TJ524267:TJ524366 JN524267:JN524366 R524267:R524366 WVZ458731:WVZ458830 WMD458731:WMD458830 WCH458731:WCH458830 VSL458731:VSL458830 VIP458731:VIP458830 UYT458731:UYT458830 UOX458731:UOX458830 UFB458731:UFB458830 TVF458731:TVF458830 TLJ458731:TLJ458830 TBN458731:TBN458830 SRR458731:SRR458830 SHV458731:SHV458830 RXZ458731:RXZ458830 ROD458731:ROD458830 REH458731:REH458830 QUL458731:QUL458830 QKP458731:QKP458830 QAT458731:QAT458830 PQX458731:PQX458830 PHB458731:PHB458830 OXF458731:OXF458830 ONJ458731:ONJ458830 ODN458731:ODN458830 NTR458731:NTR458830 NJV458731:NJV458830 MZZ458731:MZZ458830 MQD458731:MQD458830 MGH458731:MGH458830 LWL458731:LWL458830 LMP458731:LMP458830 LCT458731:LCT458830 KSX458731:KSX458830 KJB458731:KJB458830 JZF458731:JZF458830 JPJ458731:JPJ458830 JFN458731:JFN458830 IVR458731:IVR458830 ILV458731:ILV458830 IBZ458731:IBZ458830 HSD458731:HSD458830 HIH458731:HIH458830 GYL458731:GYL458830 GOP458731:GOP458830 GET458731:GET458830 FUX458731:FUX458830 FLB458731:FLB458830 FBF458731:FBF458830 ERJ458731:ERJ458830 EHN458731:EHN458830 DXR458731:DXR458830 DNV458731:DNV458830 DDZ458731:DDZ458830 CUD458731:CUD458830 CKH458731:CKH458830 CAL458731:CAL458830 BQP458731:BQP458830 BGT458731:BGT458830 AWX458731:AWX458830 ANB458731:ANB458830 ADF458731:ADF458830 TJ458731:TJ458830 JN458731:JN458830 R458731:R458830 WVZ393195:WVZ393294 WMD393195:WMD393294 WCH393195:WCH393294 VSL393195:VSL393294 VIP393195:VIP393294 UYT393195:UYT393294 UOX393195:UOX393294 UFB393195:UFB393294 TVF393195:TVF393294 TLJ393195:TLJ393294 TBN393195:TBN393294 SRR393195:SRR393294 SHV393195:SHV393294 RXZ393195:RXZ393294 ROD393195:ROD393294 REH393195:REH393294 QUL393195:QUL393294 QKP393195:QKP393294 QAT393195:QAT393294 PQX393195:PQX393294 PHB393195:PHB393294 OXF393195:OXF393294 ONJ393195:ONJ393294 ODN393195:ODN393294 NTR393195:NTR393294 NJV393195:NJV393294 MZZ393195:MZZ393294 MQD393195:MQD393294 MGH393195:MGH393294 LWL393195:LWL393294 LMP393195:LMP393294 LCT393195:LCT393294 KSX393195:KSX393294 KJB393195:KJB393294 JZF393195:JZF393294 JPJ393195:JPJ393294 JFN393195:JFN393294 IVR393195:IVR393294 ILV393195:ILV393294 IBZ393195:IBZ393294 HSD393195:HSD393294 HIH393195:HIH393294 GYL393195:GYL393294 GOP393195:GOP393294 GET393195:GET393294 FUX393195:FUX393294 FLB393195:FLB393294 FBF393195:FBF393294 ERJ393195:ERJ393294 EHN393195:EHN393294 DXR393195:DXR393294 DNV393195:DNV393294 DDZ393195:DDZ393294 CUD393195:CUD393294 CKH393195:CKH393294 CAL393195:CAL393294 BQP393195:BQP393294 BGT393195:BGT393294 AWX393195:AWX393294 ANB393195:ANB393294 ADF393195:ADF393294 TJ393195:TJ393294 JN393195:JN393294 R393195:R393294 WVZ327659:WVZ327758 WMD327659:WMD327758 WCH327659:WCH327758 VSL327659:VSL327758 VIP327659:VIP327758 UYT327659:UYT327758 UOX327659:UOX327758 UFB327659:UFB327758 TVF327659:TVF327758 TLJ327659:TLJ327758 TBN327659:TBN327758 SRR327659:SRR327758 SHV327659:SHV327758 RXZ327659:RXZ327758 ROD327659:ROD327758 REH327659:REH327758 QUL327659:QUL327758 QKP327659:QKP327758 QAT327659:QAT327758 PQX327659:PQX327758 PHB327659:PHB327758 OXF327659:OXF327758 ONJ327659:ONJ327758 ODN327659:ODN327758 NTR327659:NTR327758 NJV327659:NJV327758 MZZ327659:MZZ327758 MQD327659:MQD327758 MGH327659:MGH327758 LWL327659:LWL327758 LMP327659:LMP327758 LCT327659:LCT327758 KSX327659:KSX327758 KJB327659:KJB327758 JZF327659:JZF327758 JPJ327659:JPJ327758 JFN327659:JFN327758 IVR327659:IVR327758 ILV327659:ILV327758 IBZ327659:IBZ327758 HSD327659:HSD327758 HIH327659:HIH327758 GYL327659:GYL327758 GOP327659:GOP327758 GET327659:GET327758 FUX327659:FUX327758 FLB327659:FLB327758 FBF327659:FBF327758 ERJ327659:ERJ327758 EHN327659:EHN327758 DXR327659:DXR327758 DNV327659:DNV327758 DDZ327659:DDZ327758 CUD327659:CUD327758 CKH327659:CKH327758 CAL327659:CAL327758 BQP327659:BQP327758 BGT327659:BGT327758 AWX327659:AWX327758 ANB327659:ANB327758 ADF327659:ADF327758 TJ327659:TJ327758 JN327659:JN327758 R327659:R327758 WVZ262123:WVZ262222 WMD262123:WMD262222 WCH262123:WCH262222 VSL262123:VSL262222 VIP262123:VIP262222 UYT262123:UYT262222 UOX262123:UOX262222 UFB262123:UFB262222 TVF262123:TVF262222 TLJ262123:TLJ262222 TBN262123:TBN262222 SRR262123:SRR262222 SHV262123:SHV262222 RXZ262123:RXZ262222 ROD262123:ROD262222 REH262123:REH262222 QUL262123:QUL262222 QKP262123:QKP262222 QAT262123:QAT262222 PQX262123:PQX262222 PHB262123:PHB262222 OXF262123:OXF262222 ONJ262123:ONJ262222 ODN262123:ODN262222 NTR262123:NTR262222 NJV262123:NJV262222 MZZ262123:MZZ262222 MQD262123:MQD262222 MGH262123:MGH262222 LWL262123:LWL262222 LMP262123:LMP262222 LCT262123:LCT262222 KSX262123:KSX262222 KJB262123:KJB262222 JZF262123:JZF262222 JPJ262123:JPJ262222 JFN262123:JFN262222 IVR262123:IVR262222 ILV262123:ILV262222 IBZ262123:IBZ262222 HSD262123:HSD262222 HIH262123:HIH262222 GYL262123:GYL262222 GOP262123:GOP262222 GET262123:GET262222 FUX262123:FUX262222 FLB262123:FLB262222 FBF262123:FBF262222 ERJ262123:ERJ262222 EHN262123:EHN262222 DXR262123:DXR262222 DNV262123:DNV262222 DDZ262123:DDZ262222 CUD262123:CUD262222 CKH262123:CKH262222 CAL262123:CAL262222 BQP262123:BQP262222 BGT262123:BGT262222 AWX262123:AWX262222 ANB262123:ANB262222 ADF262123:ADF262222 TJ262123:TJ262222 JN262123:JN262222 R262123:R262222 WVZ196587:WVZ196686 WMD196587:WMD196686 WCH196587:WCH196686 VSL196587:VSL196686 VIP196587:VIP196686 UYT196587:UYT196686 UOX196587:UOX196686 UFB196587:UFB196686 TVF196587:TVF196686 TLJ196587:TLJ196686 TBN196587:TBN196686 SRR196587:SRR196686 SHV196587:SHV196686 RXZ196587:RXZ196686 ROD196587:ROD196686 REH196587:REH196686 QUL196587:QUL196686 QKP196587:QKP196686 QAT196587:QAT196686 PQX196587:PQX196686 PHB196587:PHB196686 OXF196587:OXF196686 ONJ196587:ONJ196686 ODN196587:ODN196686 NTR196587:NTR196686 NJV196587:NJV196686 MZZ196587:MZZ196686 MQD196587:MQD196686 MGH196587:MGH196686 LWL196587:LWL196686 LMP196587:LMP196686 LCT196587:LCT196686 KSX196587:KSX196686 KJB196587:KJB196686 JZF196587:JZF196686 JPJ196587:JPJ196686 JFN196587:JFN196686 IVR196587:IVR196686 ILV196587:ILV196686 IBZ196587:IBZ196686 HSD196587:HSD196686 HIH196587:HIH196686 GYL196587:GYL196686 GOP196587:GOP196686 GET196587:GET196686 FUX196587:FUX196686 FLB196587:FLB196686 FBF196587:FBF196686 ERJ196587:ERJ196686 EHN196587:EHN196686 DXR196587:DXR196686 DNV196587:DNV196686 DDZ196587:DDZ196686 CUD196587:CUD196686 CKH196587:CKH196686 CAL196587:CAL196686 BQP196587:BQP196686 BGT196587:BGT196686 AWX196587:AWX196686 ANB196587:ANB196686 ADF196587:ADF196686 TJ196587:TJ196686 JN196587:JN196686 R196587:R196686 WVZ131051:WVZ131150 WMD131051:WMD131150 WCH131051:WCH131150 VSL131051:VSL131150 VIP131051:VIP131150 UYT131051:UYT131150 UOX131051:UOX131150 UFB131051:UFB131150 TVF131051:TVF131150 TLJ131051:TLJ131150 TBN131051:TBN131150 SRR131051:SRR131150 SHV131051:SHV131150 RXZ131051:RXZ131150 ROD131051:ROD131150 REH131051:REH131150 QUL131051:QUL131150 QKP131051:QKP131150 QAT131051:QAT131150 PQX131051:PQX131150 PHB131051:PHB131150 OXF131051:OXF131150 ONJ131051:ONJ131150 ODN131051:ODN131150 NTR131051:NTR131150 NJV131051:NJV131150 MZZ131051:MZZ131150 MQD131051:MQD131150 MGH131051:MGH131150 LWL131051:LWL131150 LMP131051:LMP131150 LCT131051:LCT131150 KSX131051:KSX131150 KJB131051:KJB131150 JZF131051:JZF131150 JPJ131051:JPJ131150 JFN131051:JFN131150 IVR131051:IVR131150 ILV131051:ILV131150 IBZ131051:IBZ131150 HSD131051:HSD131150 HIH131051:HIH131150 GYL131051:GYL131150 GOP131051:GOP131150 GET131051:GET131150 FUX131051:FUX131150 FLB131051:FLB131150 FBF131051:FBF131150 ERJ131051:ERJ131150 EHN131051:EHN131150 DXR131051:DXR131150 DNV131051:DNV131150 DDZ131051:DDZ131150 CUD131051:CUD131150 CKH131051:CKH131150 CAL131051:CAL131150 BQP131051:BQP131150 BGT131051:BGT131150 AWX131051:AWX131150 ANB131051:ANB131150 ADF131051:ADF131150 TJ131051:TJ131150 JN131051:JN131150 R131051:R131150 WVZ65515:WVZ65614 WMD65515:WMD65614 WCH65515:WCH65614 VSL65515:VSL65614 VIP65515:VIP65614 UYT65515:UYT65614 UOX65515:UOX65614 UFB65515:UFB65614 TVF65515:TVF65614 TLJ65515:TLJ65614 TBN65515:TBN65614 SRR65515:SRR65614 SHV65515:SHV65614 RXZ65515:RXZ65614 ROD65515:ROD65614 REH65515:REH65614 QUL65515:QUL65614 QKP65515:QKP65614 QAT65515:QAT65614 PQX65515:PQX65614 PHB65515:PHB65614 OXF65515:OXF65614 ONJ65515:ONJ65614 ODN65515:ODN65614 NTR65515:NTR65614 NJV65515:NJV65614 MZZ65515:MZZ65614 MQD65515:MQD65614 MGH65515:MGH65614 LWL65515:LWL65614 LMP65515:LMP65614 LCT65515:LCT65614 KSX65515:KSX65614 KJB65515:KJB65614 JZF65515:JZF65614 JPJ65515:JPJ65614 JFN65515:JFN65614 IVR65515:IVR65614 ILV65515:ILV65614 IBZ65515:IBZ65614 HSD65515:HSD65614 HIH65515:HIH65614 GYL65515:GYL65614 GOP65515:GOP65614 GET65515:GET65614 FUX65515:FUX65614 FLB65515:FLB65614 FBF65515:FBF65614 ERJ65515:ERJ65614 EHN65515:EHN65614 DXR65515:DXR65614 DNV65515:DNV65614 DDZ65515:DDZ65614 CUD65515:CUD65614 CKH65515:CKH65614 CAL65515:CAL65614 BQP65515:BQP65614 BGT65515:BGT65614 AWX65515:AWX65614 ANB65515:ANB65614 ADF65515:ADF65614 TJ65515:TJ65614 JN65515:JN65614 R65515:R65614" xr:uid="{086B1637-2CC4-422E-B625-FA84EC1462AE}">
      <formula1>$X$3:$X$7</formula1>
    </dataValidation>
    <dataValidation type="list" allowBlank="1" showInputMessage="1" showErrorMessage="1" sqref="WVY983019:WVY983118 JM6:JM78 TI6:TI78 ADE6:ADE78 ANA6:ANA78 AWW6:AWW78 BGS6:BGS78 BQO6:BQO78 CAK6:CAK78 CKG6:CKG78 CUC6:CUC78 DDY6:DDY78 DNU6:DNU78 DXQ6:DXQ78 EHM6:EHM78 ERI6:ERI78 FBE6:FBE78 FLA6:FLA78 FUW6:FUW78 GES6:GES78 GOO6:GOO78 GYK6:GYK78 HIG6:HIG78 HSC6:HSC78 IBY6:IBY78 ILU6:ILU78 IVQ6:IVQ78 JFM6:JFM78 JPI6:JPI78 JZE6:JZE78 KJA6:KJA78 KSW6:KSW78 LCS6:LCS78 LMO6:LMO78 LWK6:LWK78 MGG6:MGG78 MQC6:MQC78 MZY6:MZY78 NJU6:NJU78 NTQ6:NTQ78 ODM6:ODM78 ONI6:ONI78 OXE6:OXE78 PHA6:PHA78 PQW6:PQW78 QAS6:QAS78 QKO6:QKO78 QUK6:QUK78 REG6:REG78 ROC6:ROC78 RXY6:RXY78 SHU6:SHU78 SRQ6:SRQ78 TBM6:TBM78 TLI6:TLI78 TVE6:TVE78 UFA6:UFA78 UOW6:UOW78 UYS6:UYS78 VIO6:VIO78 VSK6:VSK78 WCG6:WCG78 WMC6:WMC78 WVY6:WVY78 Q6:Q39 WMC983019:WMC983118 WCG983019:WCG983118 VSK983019:VSK983118 VIO983019:VIO983118 UYS983019:UYS983118 UOW983019:UOW983118 UFA983019:UFA983118 TVE983019:TVE983118 TLI983019:TLI983118 TBM983019:TBM983118 SRQ983019:SRQ983118 SHU983019:SHU983118 RXY983019:RXY983118 ROC983019:ROC983118 REG983019:REG983118 QUK983019:QUK983118 QKO983019:QKO983118 QAS983019:QAS983118 PQW983019:PQW983118 PHA983019:PHA983118 OXE983019:OXE983118 ONI983019:ONI983118 ODM983019:ODM983118 NTQ983019:NTQ983118 NJU983019:NJU983118 MZY983019:MZY983118 MQC983019:MQC983118 MGG983019:MGG983118 LWK983019:LWK983118 LMO983019:LMO983118 LCS983019:LCS983118 KSW983019:KSW983118 KJA983019:KJA983118 JZE983019:JZE983118 JPI983019:JPI983118 JFM983019:JFM983118 IVQ983019:IVQ983118 ILU983019:ILU983118 IBY983019:IBY983118 HSC983019:HSC983118 HIG983019:HIG983118 GYK983019:GYK983118 GOO983019:GOO983118 GES983019:GES983118 FUW983019:FUW983118 FLA983019:FLA983118 FBE983019:FBE983118 ERI983019:ERI983118 EHM983019:EHM983118 DXQ983019:DXQ983118 DNU983019:DNU983118 DDY983019:DDY983118 CUC983019:CUC983118 CKG983019:CKG983118 CAK983019:CAK983118 BQO983019:BQO983118 BGS983019:BGS983118 AWW983019:AWW983118 ANA983019:ANA983118 ADE983019:ADE983118 TI983019:TI983118 JM983019:JM983118 Q983019:Q983118 WVY917483:WVY917582 WMC917483:WMC917582 WCG917483:WCG917582 VSK917483:VSK917582 VIO917483:VIO917582 UYS917483:UYS917582 UOW917483:UOW917582 UFA917483:UFA917582 TVE917483:TVE917582 TLI917483:TLI917582 TBM917483:TBM917582 SRQ917483:SRQ917582 SHU917483:SHU917582 RXY917483:RXY917582 ROC917483:ROC917582 REG917483:REG917582 QUK917483:QUK917582 QKO917483:QKO917582 QAS917483:QAS917582 PQW917483:PQW917582 PHA917483:PHA917582 OXE917483:OXE917582 ONI917483:ONI917582 ODM917483:ODM917582 NTQ917483:NTQ917582 NJU917483:NJU917582 MZY917483:MZY917582 MQC917483:MQC917582 MGG917483:MGG917582 LWK917483:LWK917582 LMO917483:LMO917582 LCS917483:LCS917582 KSW917483:KSW917582 KJA917483:KJA917582 JZE917483:JZE917582 JPI917483:JPI917582 JFM917483:JFM917582 IVQ917483:IVQ917582 ILU917483:ILU917582 IBY917483:IBY917582 HSC917483:HSC917582 HIG917483:HIG917582 GYK917483:GYK917582 GOO917483:GOO917582 GES917483:GES917582 FUW917483:FUW917582 FLA917483:FLA917582 FBE917483:FBE917582 ERI917483:ERI917582 EHM917483:EHM917582 DXQ917483:DXQ917582 DNU917483:DNU917582 DDY917483:DDY917582 CUC917483:CUC917582 CKG917483:CKG917582 CAK917483:CAK917582 BQO917483:BQO917582 BGS917483:BGS917582 AWW917483:AWW917582 ANA917483:ANA917582 ADE917483:ADE917582 TI917483:TI917582 JM917483:JM917582 Q917483:Q917582 WVY851947:WVY852046 WMC851947:WMC852046 WCG851947:WCG852046 VSK851947:VSK852046 VIO851947:VIO852046 UYS851947:UYS852046 UOW851947:UOW852046 UFA851947:UFA852046 TVE851947:TVE852046 TLI851947:TLI852046 TBM851947:TBM852046 SRQ851947:SRQ852046 SHU851947:SHU852046 RXY851947:RXY852046 ROC851947:ROC852046 REG851947:REG852046 QUK851947:QUK852046 QKO851947:QKO852046 QAS851947:QAS852046 PQW851947:PQW852046 PHA851947:PHA852046 OXE851947:OXE852046 ONI851947:ONI852046 ODM851947:ODM852046 NTQ851947:NTQ852046 NJU851947:NJU852046 MZY851947:MZY852046 MQC851947:MQC852046 MGG851947:MGG852046 LWK851947:LWK852046 LMO851947:LMO852046 LCS851947:LCS852046 KSW851947:KSW852046 KJA851947:KJA852046 JZE851947:JZE852046 JPI851947:JPI852046 JFM851947:JFM852046 IVQ851947:IVQ852046 ILU851947:ILU852046 IBY851947:IBY852046 HSC851947:HSC852046 HIG851947:HIG852046 GYK851947:GYK852046 GOO851947:GOO852046 GES851947:GES852046 FUW851947:FUW852046 FLA851947:FLA852046 FBE851947:FBE852046 ERI851947:ERI852046 EHM851947:EHM852046 DXQ851947:DXQ852046 DNU851947:DNU852046 DDY851947:DDY852046 CUC851947:CUC852046 CKG851947:CKG852046 CAK851947:CAK852046 BQO851947:BQO852046 BGS851947:BGS852046 AWW851947:AWW852046 ANA851947:ANA852046 ADE851947:ADE852046 TI851947:TI852046 JM851947:JM852046 Q851947:Q852046 WVY786411:WVY786510 WMC786411:WMC786510 WCG786411:WCG786510 VSK786411:VSK786510 VIO786411:VIO786510 UYS786411:UYS786510 UOW786411:UOW786510 UFA786411:UFA786510 TVE786411:TVE786510 TLI786411:TLI786510 TBM786411:TBM786510 SRQ786411:SRQ786510 SHU786411:SHU786510 RXY786411:RXY786510 ROC786411:ROC786510 REG786411:REG786510 QUK786411:QUK786510 QKO786411:QKO786510 QAS786411:QAS786510 PQW786411:PQW786510 PHA786411:PHA786510 OXE786411:OXE786510 ONI786411:ONI786510 ODM786411:ODM786510 NTQ786411:NTQ786510 NJU786411:NJU786510 MZY786411:MZY786510 MQC786411:MQC786510 MGG786411:MGG786510 LWK786411:LWK786510 LMO786411:LMO786510 LCS786411:LCS786510 KSW786411:KSW786510 KJA786411:KJA786510 JZE786411:JZE786510 JPI786411:JPI786510 JFM786411:JFM786510 IVQ786411:IVQ786510 ILU786411:ILU786510 IBY786411:IBY786510 HSC786411:HSC786510 HIG786411:HIG786510 GYK786411:GYK786510 GOO786411:GOO786510 GES786411:GES786510 FUW786411:FUW786510 FLA786411:FLA786510 FBE786411:FBE786510 ERI786411:ERI786510 EHM786411:EHM786510 DXQ786411:DXQ786510 DNU786411:DNU786510 DDY786411:DDY786510 CUC786411:CUC786510 CKG786411:CKG786510 CAK786411:CAK786510 BQO786411:BQO786510 BGS786411:BGS786510 AWW786411:AWW786510 ANA786411:ANA786510 ADE786411:ADE786510 TI786411:TI786510 JM786411:JM786510 Q786411:Q786510 WVY720875:WVY720974 WMC720875:WMC720974 WCG720875:WCG720974 VSK720875:VSK720974 VIO720875:VIO720974 UYS720875:UYS720974 UOW720875:UOW720974 UFA720875:UFA720974 TVE720875:TVE720974 TLI720875:TLI720974 TBM720875:TBM720974 SRQ720875:SRQ720974 SHU720875:SHU720974 RXY720875:RXY720974 ROC720875:ROC720974 REG720875:REG720974 QUK720875:QUK720974 QKO720875:QKO720974 QAS720875:QAS720974 PQW720875:PQW720974 PHA720875:PHA720974 OXE720875:OXE720974 ONI720875:ONI720974 ODM720875:ODM720974 NTQ720875:NTQ720974 NJU720875:NJU720974 MZY720875:MZY720974 MQC720875:MQC720974 MGG720875:MGG720974 LWK720875:LWK720974 LMO720875:LMO720974 LCS720875:LCS720974 KSW720875:KSW720974 KJA720875:KJA720974 JZE720875:JZE720974 JPI720875:JPI720974 JFM720875:JFM720974 IVQ720875:IVQ720974 ILU720875:ILU720974 IBY720875:IBY720974 HSC720875:HSC720974 HIG720875:HIG720974 GYK720875:GYK720974 GOO720875:GOO720974 GES720875:GES720974 FUW720875:FUW720974 FLA720875:FLA720974 FBE720875:FBE720974 ERI720875:ERI720974 EHM720875:EHM720974 DXQ720875:DXQ720974 DNU720875:DNU720974 DDY720875:DDY720974 CUC720875:CUC720974 CKG720875:CKG720974 CAK720875:CAK720974 BQO720875:BQO720974 BGS720875:BGS720974 AWW720875:AWW720974 ANA720875:ANA720974 ADE720875:ADE720974 TI720875:TI720974 JM720875:JM720974 Q720875:Q720974 WVY655339:WVY655438 WMC655339:WMC655438 WCG655339:WCG655438 VSK655339:VSK655438 VIO655339:VIO655438 UYS655339:UYS655438 UOW655339:UOW655438 UFA655339:UFA655438 TVE655339:TVE655438 TLI655339:TLI655438 TBM655339:TBM655438 SRQ655339:SRQ655438 SHU655339:SHU655438 RXY655339:RXY655438 ROC655339:ROC655438 REG655339:REG655438 QUK655339:QUK655438 QKO655339:QKO655438 QAS655339:QAS655438 PQW655339:PQW655438 PHA655339:PHA655438 OXE655339:OXE655438 ONI655339:ONI655438 ODM655339:ODM655438 NTQ655339:NTQ655438 NJU655339:NJU655438 MZY655339:MZY655438 MQC655339:MQC655438 MGG655339:MGG655438 LWK655339:LWK655438 LMO655339:LMO655438 LCS655339:LCS655438 KSW655339:KSW655438 KJA655339:KJA655438 JZE655339:JZE655438 JPI655339:JPI655438 JFM655339:JFM655438 IVQ655339:IVQ655438 ILU655339:ILU655438 IBY655339:IBY655438 HSC655339:HSC655438 HIG655339:HIG655438 GYK655339:GYK655438 GOO655339:GOO655438 GES655339:GES655438 FUW655339:FUW655438 FLA655339:FLA655438 FBE655339:FBE655438 ERI655339:ERI655438 EHM655339:EHM655438 DXQ655339:DXQ655438 DNU655339:DNU655438 DDY655339:DDY655438 CUC655339:CUC655438 CKG655339:CKG655438 CAK655339:CAK655438 BQO655339:BQO655438 BGS655339:BGS655438 AWW655339:AWW655438 ANA655339:ANA655438 ADE655339:ADE655438 TI655339:TI655438 JM655339:JM655438 Q655339:Q655438 WVY589803:WVY589902 WMC589803:WMC589902 WCG589803:WCG589902 VSK589803:VSK589902 VIO589803:VIO589902 UYS589803:UYS589902 UOW589803:UOW589902 UFA589803:UFA589902 TVE589803:TVE589902 TLI589803:TLI589902 TBM589803:TBM589902 SRQ589803:SRQ589902 SHU589803:SHU589902 RXY589803:RXY589902 ROC589803:ROC589902 REG589803:REG589902 QUK589803:QUK589902 QKO589803:QKO589902 QAS589803:QAS589902 PQW589803:PQW589902 PHA589803:PHA589902 OXE589803:OXE589902 ONI589803:ONI589902 ODM589803:ODM589902 NTQ589803:NTQ589902 NJU589803:NJU589902 MZY589803:MZY589902 MQC589803:MQC589902 MGG589803:MGG589902 LWK589803:LWK589902 LMO589803:LMO589902 LCS589803:LCS589902 KSW589803:KSW589902 KJA589803:KJA589902 JZE589803:JZE589902 JPI589803:JPI589902 JFM589803:JFM589902 IVQ589803:IVQ589902 ILU589803:ILU589902 IBY589803:IBY589902 HSC589803:HSC589902 HIG589803:HIG589902 GYK589803:GYK589902 GOO589803:GOO589902 GES589803:GES589902 FUW589803:FUW589902 FLA589803:FLA589902 FBE589803:FBE589902 ERI589803:ERI589902 EHM589803:EHM589902 DXQ589803:DXQ589902 DNU589803:DNU589902 DDY589803:DDY589902 CUC589803:CUC589902 CKG589803:CKG589902 CAK589803:CAK589902 BQO589803:BQO589902 BGS589803:BGS589902 AWW589803:AWW589902 ANA589803:ANA589902 ADE589803:ADE589902 TI589803:TI589902 JM589803:JM589902 Q589803:Q589902 WVY524267:WVY524366 WMC524267:WMC524366 WCG524267:WCG524366 VSK524267:VSK524366 VIO524267:VIO524366 UYS524267:UYS524366 UOW524267:UOW524366 UFA524267:UFA524366 TVE524267:TVE524366 TLI524267:TLI524366 TBM524267:TBM524366 SRQ524267:SRQ524366 SHU524267:SHU524366 RXY524267:RXY524366 ROC524267:ROC524366 REG524267:REG524366 QUK524267:QUK524366 QKO524267:QKO524366 QAS524267:QAS524366 PQW524267:PQW524366 PHA524267:PHA524366 OXE524267:OXE524366 ONI524267:ONI524366 ODM524267:ODM524366 NTQ524267:NTQ524366 NJU524267:NJU524366 MZY524267:MZY524366 MQC524267:MQC524366 MGG524267:MGG524366 LWK524267:LWK524366 LMO524267:LMO524366 LCS524267:LCS524366 KSW524267:KSW524366 KJA524267:KJA524366 JZE524267:JZE524366 JPI524267:JPI524366 JFM524267:JFM524366 IVQ524267:IVQ524366 ILU524267:ILU524366 IBY524267:IBY524366 HSC524267:HSC524366 HIG524267:HIG524366 GYK524267:GYK524366 GOO524267:GOO524366 GES524267:GES524366 FUW524267:FUW524366 FLA524267:FLA524366 FBE524267:FBE524366 ERI524267:ERI524366 EHM524267:EHM524366 DXQ524267:DXQ524366 DNU524267:DNU524366 DDY524267:DDY524366 CUC524267:CUC524366 CKG524267:CKG524366 CAK524267:CAK524366 BQO524267:BQO524366 BGS524267:BGS524366 AWW524267:AWW524366 ANA524267:ANA524366 ADE524267:ADE524366 TI524267:TI524366 JM524267:JM524366 Q524267:Q524366 WVY458731:WVY458830 WMC458731:WMC458830 WCG458731:WCG458830 VSK458731:VSK458830 VIO458731:VIO458830 UYS458731:UYS458830 UOW458731:UOW458830 UFA458731:UFA458830 TVE458731:TVE458830 TLI458731:TLI458830 TBM458731:TBM458830 SRQ458731:SRQ458830 SHU458731:SHU458830 RXY458731:RXY458830 ROC458731:ROC458830 REG458731:REG458830 QUK458731:QUK458830 QKO458731:QKO458830 QAS458731:QAS458830 PQW458731:PQW458830 PHA458731:PHA458830 OXE458731:OXE458830 ONI458731:ONI458830 ODM458731:ODM458830 NTQ458731:NTQ458830 NJU458731:NJU458830 MZY458731:MZY458830 MQC458731:MQC458830 MGG458731:MGG458830 LWK458731:LWK458830 LMO458731:LMO458830 LCS458731:LCS458830 KSW458731:KSW458830 KJA458731:KJA458830 JZE458731:JZE458830 JPI458731:JPI458830 JFM458731:JFM458830 IVQ458731:IVQ458830 ILU458731:ILU458830 IBY458731:IBY458830 HSC458731:HSC458830 HIG458731:HIG458830 GYK458731:GYK458830 GOO458731:GOO458830 GES458731:GES458830 FUW458731:FUW458830 FLA458731:FLA458830 FBE458731:FBE458830 ERI458731:ERI458830 EHM458731:EHM458830 DXQ458731:DXQ458830 DNU458731:DNU458830 DDY458731:DDY458830 CUC458731:CUC458830 CKG458731:CKG458830 CAK458731:CAK458830 BQO458731:BQO458830 BGS458731:BGS458830 AWW458731:AWW458830 ANA458731:ANA458830 ADE458731:ADE458830 TI458731:TI458830 JM458731:JM458830 Q458731:Q458830 WVY393195:WVY393294 WMC393195:WMC393294 WCG393195:WCG393294 VSK393195:VSK393294 VIO393195:VIO393294 UYS393195:UYS393294 UOW393195:UOW393294 UFA393195:UFA393294 TVE393195:TVE393294 TLI393195:TLI393294 TBM393195:TBM393294 SRQ393195:SRQ393294 SHU393195:SHU393294 RXY393195:RXY393294 ROC393195:ROC393294 REG393195:REG393294 QUK393195:QUK393294 QKO393195:QKO393294 QAS393195:QAS393294 PQW393195:PQW393294 PHA393195:PHA393294 OXE393195:OXE393294 ONI393195:ONI393294 ODM393195:ODM393294 NTQ393195:NTQ393294 NJU393195:NJU393294 MZY393195:MZY393294 MQC393195:MQC393294 MGG393195:MGG393294 LWK393195:LWK393294 LMO393195:LMO393294 LCS393195:LCS393294 KSW393195:KSW393294 KJA393195:KJA393294 JZE393195:JZE393294 JPI393195:JPI393294 JFM393195:JFM393294 IVQ393195:IVQ393294 ILU393195:ILU393294 IBY393195:IBY393294 HSC393195:HSC393294 HIG393195:HIG393294 GYK393195:GYK393294 GOO393195:GOO393294 GES393195:GES393294 FUW393195:FUW393294 FLA393195:FLA393294 FBE393195:FBE393294 ERI393195:ERI393294 EHM393195:EHM393294 DXQ393195:DXQ393294 DNU393195:DNU393294 DDY393195:DDY393294 CUC393195:CUC393294 CKG393195:CKG393294 CAK393195:CAK393294 BQO393195:BQO393294 BGS393195:BGS393294 AWW393195:AWW393294 ANA393195:ANA393294 ADE393195:ADE393294 TI393195:TI393294 JM393195:JM393294 Q393195:Q393294 WVY327659:WVY327758 WMC327659:WMC327758 WCG327659:WCG327758 VSK327659:VSK327758 VIO327659:VIO327758 UYS327659:UYS327758 UOW327659:UOW327758 UFA327659:UFA327758 TVE327659:TVE327758 TLI327659:TLI327758 TBM327659:TBM327758 SRQ327659:SRQ327758 SHU327659:SHU327758 RXY327659:RXY327758 ROC327659:ROC327758 REG327659:REG327758 QUK327659:QUK327758 QKO327659:QKO327758 QAS327659:QAS327758 PQW327659:PQW327758 PHA327659:PHA327758 OXE327659:OXE327758 ONI327659:ONI327758 ODM327659:ODM327758 NTQ327659:NTQ327758 NJU327659:NJU327758 MZY327659:MZY327758 MQC327659:MQC327758 MGG327659:MGG327758 LWK327659:LWK327758 LMO327659:LMO327758 LCS327659:LCS327758 KSW327659:KSW327758 KJA327659:KJA327758 JZE327659:JZE327758 JPI327659:JPI327758 JFM327659:JFM327758 IVQ327659:IVQ327758 ILU327659:ILU327758 IBY327659:IBY327758 HSC327659:HSC327758 HIG327659:HIG327758 GYK327659:GYK327758 GOO327659:GOO327758 GES327659:GES327758 FUW327659:FUW327758 FLA327659:FLA327758 FBE327659:FBE327758 ERI327659:ERI327758 EHM327659:EHM327758 DXQ327659:DXQ327758 DNU327659:DNU327758 DDY327659:DDY327758 CUC327659:CUC327758 CKG327659:CKG327758 CAK327659:CAK327758 BQO327659:BQO327758 BGS327659:BGS327758 AWW327659:AWW327758 ANA327659:ANA327758 ADE327659:ADE327758 TI327659:TI327758 JM327659:JM327758 Q327659:Q327758 WVY262123:WVY262222 WMC262123:WMC262222 WCG262123:WCG262222 VSK262123:VSK262222 VIO262123:VIO262222 UYS262123:UYS262222 UOW262123:UOW262222 UFA262123:UFA262222 TVE262123:TVE262222 TLI262123:TLI262222 TBM262123:TBM262222 SRQ262123:SRQ262222 SHU262123:SHU262222 RXY262123:RXY262222 ROC262123:ROC262222 REG262123:REG262222 QUK262123:QUK262222 QKO262123:QKO262222 QAS262123:QAS262222 PQW262123:PQW262222 PHA262123:PHA262222 OXE262123:OXE262222 ONI262123:ONI262222 ODM262123:ODM262222 NTQ262123:NTQ262222 NJU262123:NJU262222 MZY262123:MZY262222 MQC262123:MQC262222 MGG262123:MGG262222 LWK262123:LWK262222 LMO262123:LMO262222 LCS262123:LCS262222 KSW262123:KSW262222 KJA262123:KJA262222 JZE262123:JZE262222 JPI262123:JPI262222 JFM262123:JFM262222 IVQ262123:IVQ262222 ILU262123:ILU262222 IBY262123:IBY262222 HSC262123:HSC262222 HIG262123:HIG262222 GYK262123:GYK262222 GOO262123:GOO262222 GES262123:GES262222 FUW262123:FUW262222 FLA262123:FLA262222 FBE262123:FBE262222 ERI262123:ERI262222 EHM262123:EHM262222 DXQ262123:DXQ262222 DNU262123:DNU262222 DDY262123:DDY262222 CUC262123:CUC262222 CKG262123:CKG262222 CAK262123:CAK262222 BQO262123:BQO262222 BGS262123:BGS262222 AWW262123:AWW262222 ANA262123:ANA262222 ADE262123:ADE262222 TI262123:TI262222 JM262123:JM262222 Q262123:Q262222 WVY196587:WVY196686 WMC196587:WMC196686 WCG196587:WCG196686 VSK196587:VSK196686 VIO196587:VIO196686 UYS196587:UYS196686 UOW196587:UOW196686 UFA196587:UFA196686 TVE196587:TVE196686 TLI196587:TLI196686 TBM196587:TBM196686 SRQ196587:SRQ196686 SHU196587:SHU196686 RXY196587:RXY196686 ROC196587:ROC196686 REG196587:REG196686 QUK196587:QUK196686 QKO196587:QKO196686 QAS196587:QAS196686 PQW196587:PQW196686 PHA196587:PHA196686 OXE196587:OXE196686 ONI196587:ONI196686 ODM196587:ODM196686 NTQ196587:NTQ196686 NJU196587:NJU196686 MZY196587:MZY196686 MQC196587:MQC196686 MGG196587:MGG196686 LWK196587:LWK196686 LMO196587:LMO196686 LCS196587:LCS196686 KSW196587:KSW196686 KJA196587:KJA196686 JZE196587:JZE196686 JPI196587:JPI196686 JFM196587:JFM196686 IVQ196587:IVQ196686 ILU196587:ILU196686 IBY196587:IBY196686 HSC196587:HSC196686 HIG196587:HIG196686 GYK196587:GYK196686 GOO196587:GOO196686 GES196587:GES196686 FUW196587:FUW196686 FLA196587:FLA196686 FBE196587:FBE196686 ERI196587:ERI196686 EHM196587:EHM196686 DXQ196587:DXQ196686 DNU196587:DNU196686 DDY196587:DDY196686 CUC196587:CUC196686 CKG196587:CKG196686 CAK196587:CAK196686 BQO196587:BQO196686 BGS196587:BGS196686 AWW196587:AWW196686 ANA196587:ANA196686 ADE196587:ADE196686 TI196587:TI196686 JM196587:JM196686 Q196587:Q196686 WVY131051:WVY131150 WMC131051:WMC131150 WCG131051:WCG131150 VSK131051:VSK131150 VIO131051:VIO131150 UYS131051:UYS131150 UOW131051:UOW131150 UFA131051:UFA131150 TVE131051:TVE131150 TLI131051:TLI131150 TBM131051:TBM131150 SRQ131051:SRQ131150 SHU131051:SHU131150 RXY131051:RXY131150 ROC131051:ROC131150 REG131051:REG131150 QUK131051:QUK131150 QKO131051:QKO131150 QAS131051:QAS131150 PQW131051:PQW131150 PHA131051:PHA131150 OXE131051:OXE131150 ONI131051:ONI131150 ODM131051:ODM131150 NTQ131051:NTQ131150 NJU131051:NJU131150 MZY131051:MZY131150 MQC131051:MQC131150 MGG131051:MGG131150 LWK131051:LWK131150 LMO131051:LMO131150 LCS131051:LCS131150 KSW131051:KSW131150 KJA131051:KJA131150 JZE131051:JZE131150 JPI131051:JPI131150 JFM131051:JFM131150 IVQ131051:IVQ131150 ILU131051:ILU131150 IBY131051:IBY131150 HSC131051:HSC131150 HIG131051:HIG131150 GYK131051:GYK131150 GOO131051:GOO131150 GES131051:GES131150 FUW131051:FUW131150 FLA131051:FLA131150 FBE131051:FBE131150 ERI131051:ERI131150 EHM131051:EHM131150 DXQ131051:DXQ131150 DNU131051:DNU131150 DDY131051:DDY131150 CUC131051:CUC131150 CKG131051:CKG131150 CAK131051:CAK131150 BQO131051:BQO131150 BGS131051:BGS131150 AWW131051:AWW131150 ANA131051:ANA131150 ADE131051:ADE131150 TI131051:TI131150 JM131051:JM131150 Q131051:Q131150 WVY65515:WVY65614 WMC65515:WMC65614 WCG65515:WCG65614 VSK65515:VSK65614 VIO65515:VIO65614 UYS65515:UYS65614 UOW65515:UOW65614 UFA65515:UFA65614 TVE65515:TVE65614 TLI65515:TLI65614 TBM65515:TBM65614 SRQ65515:SRQ65614 SHU65515:SHU65614 RXY65515:RXY65614 ROC65515:ROC65614 REG65515:REG65614 QUK65515:QUK65614 QKO65515:QKO65614 QAS65515:QAS65614 PQW65515:PQW65614 PHA65515:PHA65614 OXE65515:OXE65614 ONI65515:ONI65614 ODM65515:ODM65614 NTQ65515:NTQ65614 NJU65515:NJU65614 MZY65515:MZY65614 MQC65515:MQC65614 MGG65515:MGG65614 LWK65515:LWK65614 LMO65515:LMO65614 LCS65515:LCS65614 KSW65515:KSW65614 KJA65515:KJA65614 JZE65515:JZE65614 JPI65515:JPI65614 JFM65515:JFM65614 IVQ65515:IVQ65614 ILU65515:ILU65614 IBY65515:IBY65614 HSC65515:HSC65614 HIG65515:HIG65614 GYK65515:GYK65614 GOO65515:GOO65614 GES65515:GES65614 FUW65515:FUW65614 FLA65515:FLA65614 FBE65515:FBE65614 ERI65515:ERI65614 EHM65515:EHM65614 DXQ65515:DXQ65614 DNU65515:DNU65614 DDY65515:DDY65614 CUC65515:CUC65614 CKG65515:CKG65614 CAK65515:CAK65614 BQO65515:BQO65614 BGS65515:BGS65614 AWW65515:AWW65614 ANA65515:ANA65614 ADE65515:ADE65614 TI65515:TI65614 JM65515:JM65614 Q65515:Q65614" xr:uid="{F474B66E-0644-4ADD-B270-099D94CFB5CE}">
      <formula1>$V$3:$V$4</formula1>
    </dataValidation>
    <dataValidation type="list" allowBlank="1" showInputMessage="1" showErrorMessage="1" sqref="WVX983019:WVX983118 JL6:JL78 TH6:TH78 ADD6:ADD78 AMZ6:AMZ78 AWV6:AWV78 BGR6:BGR78 BQN6:BQN78 CAJ6:CAJ78 CKF6:CKF78 CUB6:CUB78 DDX6:DDX78 DNT6:DNT78 DXP6:DXP78 EHL6:EHL78 ERH6:ERH78 FBD6:FBD78 FKZ6:FKZ78 FUV6:FUV78 GER6:GER78 GON6:GON78 GYJ6:GYJ78 HIF6:HIF78 HSB6:HSB78 IBX6:IBX78 ILT6:ILT78 IVP6:IVP78 JFL6:JFL78 JPH6:JPH78 JZD6:JZD78 KIZ6:KIZ78 KSV6:KSV78 LCR6:LCR78 LMN6:LMN78 LWJ6:LWJ78 MGF6:MGF78 MQB6:MQB78 MZX6:MZX78 NJT6:NJT78 NTP6:NTP78 ODL6:ODL78 ONH6:ONH78 OXD6:OXD78 PGZ6:PGZ78 PQV6:PQV78 QAR6:QAR78 QKN6:QKN78 QUJ6:QUJ78 REF6:REF78 ROB6:ROB78 RXX6:RXX78 SHT6:SHT78 SRP6:SRP78 TBL6:TBL78 TLH6:TLH78 TVD6:TVD78 UEZ6:UEZ78 UOV6:UOV78 UYR6:UYR78 VIN6:VIN78 VSJ6:VSJ78 WCF6:WCF78 WMB6:WMB78 WVX6:WVX78 P6:P39 WMB983019:WMB983118 WCF983019:WCF983118 VSJ983019:VSJ983118 VIN983019:VIN983118 UYR983019:UYR983118 UOV983019:UOV983118 UEZ983019:UEZ983118 TVD983019:TVD983118 TLH983019:TLH983118 TBL983019:TBL983118 SRP983019:SRP983118 SHT983019:SHT983118 RXX983019:RXX983118 ROB983019:ROB983118 REF983019:REF983118 QUJ983019:QUJ983118 QKN983019:QKN983118 QAR983019:QAR983118 PQV983019:PQV983118 PGZ983019:PGZ983118 OXD983019:OXD983118 ONH983019:ONH983118 ODL983019:ODL983118 NTP983019:NTP983118 NJT983019:NJT983118 MZX983019:MZX983118 MQB983019:MQB983118 MGF983019:MGF983118 LWJ983019:LWJ983118 LMN983019:LMN983118 LCR983019:LCR983118 KSV983019:KSV983118 KIZ983019:KIZ983118 JZD983019:JZD983118 JPH983019:JPH983118 JFL983019:JFL983118 IVP983019:IVP983118 ILT983019:ILT983118 IBX983019:IBX983118 HSB983019:HSB983118 HIF983019:HIF983118 GYJ983019:GYJ983118 GON983019:GON983118 GER983019:GER983118 FUV983019:FUV983118 FKZ983019:FKZ983118 FBD983019:FBD983118 ERH983019:ERH983118 EHL983019:EHL983118 DXP983019:DXP983118 DNT983019:DNT983118 DDX983019:DDX983118 CUB983019:CUB983118 CKF983019:CKF983118 CAJ983019:CAJ983118 BQN983019:BQN983118 BGR983019:BGR983118 AWV983019:AWV983118 AMZ983019:AMZ983118 ADD983019:ADD983118 TH983019:TH983118 JL983019:JL983118 P983019:P983118 WVX917483:WVX917582 WMB917483:WMB917582 WCF917483:WCF917582 VSJ917483:VSJ917582 VIN917483:VIN917582 UYR917483:UYR917582 UOV917483:UOV917582 UEZ917483:UEZ917582 TVD917483:TVD917582 TLH917483:TLH917582 TBL917483:TBL917582 SRP917483:SRP917582 SHT917483:SHT917582 RXX917483:RXX917582 ROB917483:ROB917582 REF917483:REF917582 QUJ917483:QUJ917582 QKN917483:QKN917582 QAR917483:QAR917582 PQV917483:PQV917582 PGZ917483:PGZ917582 OXD917483:OXD917582 ONH917483:ONH917582 ODL917483:ODL917582 NTP917483:NTP917582 NJT917483:NJT917582 MZX917483:MZX917582 MQB917483:MQB917582 MGF917483:MGF917582 LWJ917483:LWJ917582 LMN917483:LMN917582 LCR917483:LCR917582 KSV917483:KSV917582 KIZ917483:KIZ917582 JZD917483:JZD917582 JPH917483:JPH917582 JFL917483:JFL917582 IVP917483:IVP917582 ILT917483:ILT917582 IBX917483:IBX917582 HSB917483:HSB917582 HIF917483:HIF917582 GYJ917483:GYJ917582 GON917483:GON917582 GER917483:GER917582 FUV917483:FUV917582 FKZ917483:FKZ917582 FBD917483:FBD917582 ERH917483:ERH917582 EHL917483:EHL917582 DXP917483:DXP917582 DNT917483:DNT917582 DDX917483:DDX917582 CUB917483:CUB917582 CKF917483:CKF917582 CAJ917483:CAJ917582 BQN917483:BQN917582 BGR917483:BGR917582 AWV917483:AWV917582 AMZ917483:AMZ917582 ADD917483:ADD917582 TH917483:TH917582 JL917483:JL917582 P917483:P917582 WVX851947:WVX852046 WMB851947:WMB852046 WCF851947:WCF852046 VSJ851947:VSJ852046 VIN851947:VIN852046 UYR851947:UYR852046 UOV851947:UOV852046 UEZ851947:UEZ852046 TVD851947:TVD852046 TLH851947:TLH852046 TBL851947:TBL852046 SRP851947:SRP852046 SHT851947:SHT852046 RXX851947:RXX852046 ROB851947:ROB852046 REF851947:REF852046 QUJ851947:QUJ852046 QKN851947:QKN852046 QAR851947:QAR852046 PQV851947:PQV852046 PGZ851947:PGZ852046 OXD851947:OXD852046 ONH851947:ONH852046 ODL851947:ODL852046 NTP851947:NTP852046 NJT851947:NJT852046 MZX851947:MZX852046 MQB851947:MQB852046 MGF851947:MGF852046 LWJ851947:LWJ852046 LMN851947:LMN852046 LCR851947:LCR852046 KSV851947:KSV852046 KIZ851947:KIZ852046 JZD851947:JZD852046 JPH851947:JPH852046 JFL851947:JFL852046 IVP851947:IVP852046 ILT851947:ILT852046 IBX851947:IBX852046 HSB851947:HSB852046 HIF851947:HIF852046 GYJ851947:GYJ852046 GON851947:GON852046 GER851947:GER852046 FUV851947:FUV852046 FKZ851947:FKZ852046 FBD851947:FBD852046 ERH851947:ERH852046 EHL851947:EHL852046 DXP851947:DXP852046 DNT851947:DNT852046 DDX851947:DDX852046 CUB851947:CUB852046 CKF851947:CKF852046 CAJ851947:CAJ852046 BQN851947:BQN852046 BGR851947:BGR852046 AWV851947:AWV852046 AMZ851947:AMZ852046 ADD851947:ADD852046 TH851947:TH852046 JL851947:JL852046 P851947:P852046 WVX786411:WVX786510 WMB786411:WMB786510 WCF786411:WCF786510 VSJ786411:VSJ786510 VIN786411:VIN786510 UYR786411:UYR786510 UOV786411:UOV786510 UEZ786411:UEZ786510 TVD786411:TVD786510 TLH786411:TLH786510 TBL786411:TBL786510 SRP786411:SRP786510 SHT786411:SHT786510 RXX786411:RXX786510 ROB786411:ROB786510 REF786411:REF786510 QUJ786411:QUJ786510 QKN786411:QKN786510 QAR786411:QAR786510 PQV786411:PQV786510 PGZ786411:PGZ786510 OXD786411:OXD786510 ONH786411:ONH786510 ODL786411:ODL786510 NTP786411:NTP786510 NJT786411:NJT786510 MZX786411:MZX786510 MQB786411:MQB786510 MGF786411:MGF786510 LWJ786411:LWJ786510 LMN786411:LMN786510 LCR786411:LCR786510 KSV786411:KSV786510 KIZ786411:KIZ786510 JZD786411:JZD786510 JPH786411:JPH786510 JFL786411:JFL786510 IVP786411:IVP786510 ILT786411:ILT786510 IBX786411:IBX786510 HSB786411:HSB786510 HIF786411:HIF786510 GYJ786411:GYJ786510 GON786411:GON786510 GER786411:GER786510 FUV786411:FUV786510 FKZ786411:FKZ786510 FBD786411:FBD786510 ERH786411:ERH786510 EHL786411:EHL786510 DXP786411:DXP786510 DNT786411:DNT786510 DDX786411:DDX786510 CUB786411:CUB786510 CKF786411:CKF786510 CAJ786411:CAJ786510 BQN786411:BQN786510 BGR786411:BGR786510 AWV786411:AWV786510 AMZ786411:AMZ786510 ADD786411:ADD786510 TH786411:TH786510 JL786411:JL786510 P786411:P786510 WVX720875:WVX720974 WMB720875:WMB720974 WCF720875:WCF720974 VSJ720875:VSJ720974 VIN720875:VIN720974 UYR720875:UYR720974 UOV720875:UOV720974 UEZ720875:UEZ720974 TVD720875:TVD720974 TLH720875:TLH720974 TBL720875:TBL720974 SRP720875:SRP720974 SHT720875:SHT720974 RXX720875:RXX720974 ROB720875:ROB720974 REF720875:REF720974 QUJ720875:QUJ720974 QKN720875:QKN720974 QAR720875:QAR720974 PQV720875:PQV720974 PGZ720875:PGZ720974 OXD720875:OXD720974 ONH720875:ONH720974 ODL720875:ODL720974 NTP720875:NTP720974 NJT720875:NJT720974 MZX720875:MZX720974 MQB720875:MQB720974 MGF720875:MGF720974 LWJ720875:LWJ720974 LMN720875:LMN720974 LCR720875:LCR720974 KSV720875:KSV720974 KIZ720875:KIZ720974 JZD720875:JZD720974 JPH720875:JPH720974 JFL720875:JFL720974 IVP720875:IVP720974 ILT720875:ILT720974 IBX720875:IBX720974 HSB720875:HSB720974 HIF720875:HIF720974 GYJ720875:GYJ720974 GON720875:GON720974 GER720875:GER720974 FUV720875:FUV720974 FKZ720875:FKZ720974 FBD720875:FBD720974 ERH720875:ERH720974 EHL720875:EHL720974 DXP720875:DXP720974 DNT720875:DNT720974 DDX720875:DDX720974 CUB720875:CUB720974 CKF720875:CKF720974 CAJ720875:CAJ720974 BQN720875:BQN720974 BGR720875:BGR720974 AWV720875:AWV720974 AMZ720875:AMZ720974 ADD720875:ADD720974 TH720875:TH720974 JL720875:JL720974 P720875:P720974 WVX655339:WVX655438 WMB655339:WMB655438 WCF655339:WCF655438 VSJ655339:VSJ655438 VIN655339:VIN655438 UYR655339:UYR655438 UOV655339:UOV655438 UEZ655339:UEZ655438 TVD655339:TVD655438 TLH655339:TLH655438 TBL655339:TBL655438 SRP655339:SRP655438 SHT655339:SHT655438 RXX655339:RXX655438 ROB655339:ROB655438 REF655339:REF655438 QUJ655339:QUJ655438 QKN655339:QKN655438 QAR655339:QAR655438 PQV655339:PQV655438 PGZ655339:PGZ655438 OXD655339:OXD655438 ONH655339:ONH655438 ODL655339:ODL655438 NTP655339:NTP655438 NJT655339:NJT655438 MZX655339:MZX655438 MQB655339:MQB655438 MGF655339:MGF655438 LWJ655339:LWJ655438 LMN655339:LMN655438 LCR655339:LCR655438 KSV655339:KSV655438 KIZ655339:KIZ655438 JZD655339:JZD655438 JPH655339:JPH655438 JFL655339:JFL655438 IVP655339:IVP655438 ILT655339:ILT655438 IBX655339:IBX655438 HSB655339:HSB655438 HIF655339:HIF655438 GYJ655339:GYJ655438 GON655339:GON655438 GER655339:GER655438 FUV655339:FUV655438 FKZ655339:FKZ655438 FBD655339:FBD655438 ERH655339:ERH655438 EHL655339:EHL655438 DXP655339:DXP655438 DNT655339:DNT655438 DDX655339:DDX655438 CUB655339:CUB655438 CKF655339:CKF655438 CAJ655339:CAJ655438 BQN655339:BQN655438 BGR655339:BGR655438 AWV655339:AWV655438 AMZ655339:AMZ655438 ADD655339:ADD655438 TH655339:TH655438 JL655339:JL655438 P655339:P655438 WVX589803:WVX589902 WMB589803:WMB589902 WCF589803:WCF589902 VSJ589803:VSJ589902 VIN589803:VIN589902 UYR589803:UYR589902 UOV589803:UOV589902 UEZ589803:UEZ589902 TVD589803:TVD589902 TLH589803:TLH589902 TBL589803:TBL589902 SRP589803:SRP589902 SHT589803:SHT589902 RXX589803:RXX589902 ROB589803:ROB589902 REF589803:REF589902 QUJ589803:QUJ589902 QKN589803:QKN589902 QAR589803:QAR589902 PQV589803:PQV589902 PGZ589803:PGZ589902 OXD589803:OXD589902 ONH589803:ONH589902 ODL589803:ODL589902 NTP589803:NTP589902 NJT589803:NJT589902 MZX589803:MZX589902 MQB589803:MQB589902 MGF589803:MGF589902 LWJ589803:LWJ589902 LMN589803:LMN589902 LCR589803:LCR589902 KSV589803:KSV589902 KIZ589803:KIZ589902 JZD589803:JZD589902 JPH589803:JPH589902 JFL589803:JFL589902 IVP589803:IVP589902 ILT589803:ILT589902 IBX589803:IBX589902 HSB589803:HSB589902 HIF589803:HIF589902 GYJ589803:GYJ589902 GON589803:GON589902 GER589803:GER589902 FUV589803:FUV589902 FKZ589803:FKZ589902 FBD589803:FBD589902 ERH589803:ERH589902 EHL589803:EHL589902 DXP589803:DXP589902 DNT589803:DNT589902 DDX589803:DDX589902 CUB589803:CUB589902 CKF589803:CKF589902 CAJ589803:CAJ589902 BQN589803:BQN589902 BGR589803:BGR589902 AWV589803:AWV589902 AMZ589803:AMZ589902 ADD589803:ADD589902 TH589803:TH589902 JL589803:JL589902 P589803:P589902 WVX524267:WVX524366 WMB524267:WMB524366 WCF524267:WCF524366 VSJ524267:VSJ524366 VIN524267:VIN524366 UYR524267:UYR524366 UOV524267:UOV524366 UEZ524267:UEZ524366 TVD524267:TVD524366 TLH524267:TLH524366 TBL524267:TBL524366 SRP524267:SRP524366 SHT524267:SHT524366 RXX524267:RXX524366 ROB524267:ROB524366 REF524267:REF524366 QUJ524267:QUJ524366 QKN524267:QKN524366 QAR524267:QAR524366 PQV524267:PQV524366 PGZ524267:PGZ524366 OXD524267:OXD524366 ONH524267:ONH524366 ODL524267:ODL524366 NTP524267:NTP524366 NJT524267:NJT524366 MZX524267:MZX524366 MQB524267:MQB524366 MGF524267:MGF524366 LWJ524267:LWJ524366 LMN524267:LMN524366 LCR524267:LCR524366 KSV524267:KSV524366 KIZ524267:KIZ524366 JZD524267:JZD524366 JPH524267:JPH524366 JFL524267:JFL524366 IVP524267:IVP524366 ILT524267:ILT524366 IBX524267:IBX524366 HSB524267:HSB524366 HIF524267:HIF524366 GYJ524267:GYJ524366 GON524267:GON524366 GER524267:GER524366 FUV524267:FUV524366 FKZ524267:FKZ524366 FBD524267:FBD524366 ERH524267:ERH524366 EHL524267:EHL524366 DXP524267:DXP524366 DNT524267:DNT524366 DDX524267:DDX524366 CUB524267:CUB524366 CKF524267:CKF524366 CAJ524267:CAJ524366 BQN524267:BQN524366 BGR524267:BGR524366 AWV524267:AWV524366 AMZ524267:AMZ524366 ADD524267:ADD524366 TH524267:TH524366 JL524267:JL524366 P524267:P524366 WVX458731:WVX458830 WMB458731:WMB458830 WCF458731:WCF458830 VSJ458731:VSJ458830 VIN458731:VIN458830 UYR458731:UYR458830 UOV458731:UOV458830 UEZ458731:UEZ458830 TVD458731:TVD458830 TLH458731:TLH458830 TBL458731:TBL458830 SRP458731:SRP458830 SHT458731:SHT458830 RXX458731:RXX458830 ROB458731:ROB458830 REF458731:REF458830 QUJ458731:QUJ458830 QKN458731:QKN458830 QAR458731:QAR458830 PQV458731:PQV458830 PGZ458731:PGZ458830 OXD458731:OXD458830 ONH458731:ONH458830 ODL458731:ODL458830 NTP458731:NTP458830 NJT458731:NJT458830 MZX458731:MZX458830 MQB458731:MQB458830 MGF458731:MGF458830 LWJ458731:LWJ458830 LMN458731:LMN458830 LCR458731:LCR458830 KSV458731:KSV458830 KIZ458731:KIZ458830 JZD458731:JZD458830 JPH458731:JPH458830 JFL458731:JFL458830 IVP458731:IVP458830 ILT458731:ILT458830 IBX458731:IBX458830 HSB458731:HSB458830 HIF458731:HIF458830 GYJ458731:GYJ458830 GON458731:GON458830 GER458731:GER458830 FUV458731:FUV458830 FKZ458731:FKZ458830 FBD458731:FBD458830 ERH458731:ERH458830 EHL458731:EHL458830 DXP458731:DXP458830 DNT458731:DNT458830 DDX458731:DDX458830 CUB458731:CUB458830 CKF458731:CKF458830 CAJ458731:CAJ458830 BQN458731:BQN458830 BGR458731:BGR458830 AWV458731:AWV458830 AMZ458731:AMZ458830 ADD458731:ADD458830 TH458731:TH458830 JL458731:JL458830 P458731:P458830 WVX393195:WVX393294 WMB393195:WMB393294 WCF393195:WCF393294 VSJ393195:VSJ393294 VIN393195:VIN393294 UYR393195:UYR393294 UOV393195:UOV393294 UEZ393195:UEZ393294 TVD393195:TVD393294 TLH393195:TLH393294 TBL393195:TBL393294 SRP393195:SRP393294 SHT393195:SHT393294 RXX393195:RXX393294 ROB393195:ROB393294 REF393195:REF393294 QUJ393195:QUJ393294 QKN393195:QKN393294 QAR393195:QAR393294 PQV393195:PQV393294 PGZ393195:PGZ393294 OXD393195:OXD393294 ONH393195:ONH393294 ODL393195:ODL393294 NTP393195:NTP393294 NJT393195:NJT393294 MZX393195:MZX393294 MQB393195:MQB393294 MGF393195:MGF393294 LWJ393195:LWJ393294 LMN393195:LMN393294 LCR393195:LCR393294 KSV393195:KSV393294 KIZ393195:KIZ393294 JZD393195:JZD393294 JPH393195:JPH393294 JFL393195:JFL393294 IVP393195:IVP393294 ILT393195:ILT393294 IBX393195:IBX393294 HSB393195:HSB393294 HIF393195:HIF393294 GYJ393195:GYJ393294 GON393195:GON393294 GER393195:GER393294 FUV393195:FUV393294 FKZ393195:FKZ393294 FBD393195:FBD393294 ERH393195:ERH393294 EHL393195:EHL393294 DXP393195:DXP393294 DNT393195:DNT393294 DDX393195:DDX393294 CUB393195:CUB393294 CKF393195:CKF393294 CAJ393195:CAJ393294 BQN393195:BQN393294 BGR393195:BGR393294 AWV393195:AWV393294 AMZ393195:AMZ393294 ADD393195:ADD393294 TH393195:TH393294 JL393195:JL393294 P393195:P393294 WVX327659:WVX327758 WMB327659:WMB327758 WCF327659:WCF327758 VSJ327659:VSJ327758 VIN327659:VIN327758 UYR327659:UYR327758 UOV327659:UOV327758 UEZ327659:UEZ327758 TVD327659:TVD327758 TLH327659:TLH327758 TBL327659:TBL327758 SRP327659:SRP327758 SHT327659:SHT327758 RXX327659:RXX327758 ROB327659:ROB327758 REF327659:REF327758 QUJ327659:QUJ327758 QKN327659:QKN327758 QAR327659:QAR327758 PQV327659:PQV327758 PGZ327659:PGZ327758 OXD327659:OXD327758 ONH327659:ONH327758 ODL327659:ODL327758 NTP327659:NTP327758 NJT327659:NJT327758 MZX327659:MZX327758 MQB327659:MQB327758 MGF327659:MGF327758 LWJ327659:LWJ327758 LMN327659:LMN327758 LCR327659:LCR327758 KSV327659:KSV327758 KIZ327659:KIZ327758 JZD327659:JZD327758 JPH327659:JPH327758 JFL327659:JFL327758 IVP327659:IVP327758 ILT327659:ILT327758 IBX327659:IBX327758 HSB327659:HSB327758 HIF327659:HIF327758 GYJ327659:GYJ327758 GON327659:GON327758 GER327659:GER327758 FUV327659:FUV327758 FKZ327659:FKZ327758 FBD327659:FBD327758 ERH327659:ERH327758 EHL327659:EHL327758 DXP327659:DXP327758 DNT327659:DNT327758 DDX327659:DDX327758 CUB327659:CUB327758 CKF327659:CKF327758 CAJ327659:CAJ327758 BQN327659:BQN327758 BGR327659:BGR327758 AWV327659:AWV327758 AMZ327659:AMZ327758 ADD327659:ADD327758 TH327659:TH327758 JL327659:JL327758 P327659:P327758 WVX262123:WVX262222 WMB262123:WMB262222 WCF262123:WCF262222 VSJ262123:VSJ262222 VIN262123:VIN262222 UYR262123:UYR262222 UOV262123:UOV262222 UEZ262123:UEZ262222 TVD262123:TVD262222 TLH262123:TLH262222 TBL262123:TBL262222 SRP262123:SRP262222 SHT262123:SHT262222 RXX262123:RXX262222 ROB262123:ROB262222 REF262123:REF262222 QUJ262123:QUJ262222 QKN262123:QKN262222 QAR262123:QAR262222 PQV262123:PQV262222 PGZ262123:PGZ262222 OXD262123:OXD262222 ONH262123:ONH262222 ODL262123:ODL262222 NTP262123:NTP262222 NJT262123:NJT262222 MZX262123:MZX262222 MQB262123:MQB262222 MGF262123:MGF262222 LWJ262123:LWJ262222 LMN262123:LMN262222 LCR262123:LCR262222 KSV262123:KSV262222 KIZ262123:KIZ262222 JZD262123:JZD262222 JPH262123:JPH262222 JFL262123:JFL262222 IVP262123:IVP262222 ILT262123:ILT262222 IBX262123:IBX262222 HSB262123:HSB262222 HIF262123:HIF262222 GYJ262123:GYJ262222 GON262123:GON262222 GER262123:GER262222 FUV262123:FUV262222 FKZ262123:FKZ262222 FBD262123:FBD262222 ERH262123:ERH262222 EHL262123:EHL262222 DXP262123:DXP262222 DNT262123:DNT262222 DDX262123:DDX262222 CUB262123:CUB262222 CKF262123:CKF262222 CAJ262123:CAJ262222 BQN262123:BQN262222 BGR262123:BGR262222 AWV262123:AWV262222 AMZ262123:AMZ262222 ADD262123:ADD262222 TH262123:TH262222 JL262123:JL262222 P262123:P262222 WVX196587:WVX196686 WMB196587:WMB196686 WCF196587:WCF196686 VSJ196587:VSJ196686 VIN196587:VIN196686 UYR196587:UYR196686 UOV196587:UOV196686 UEZ196587:UEZ196686 TVD196587:TVD196686 TLH196587:TLH196686 TBL196587:TBL196686 SRP196587:SRP196686 SHT196587:SHT196686 RXX196587:RXX196686 ROB196587:ROB196686 REF196587:REF196686 QUJ196587:QUJ196686 QKN196587:QKN196686 QAR196587:QAR196686 PQV196587:PQV196686 PGZ196587:PGZ196686 OXD196587:OXD196686 ONH196587:ONH196686 ODL196587:ODL196686 NTP196587:NTP196686 NJT196587:NJT196686 MZX196587:MZX196686 MQB196587:MQB196686 MGF196587:MGF196686 LWJ196587:LWJ196686 LMN196587:LMN196686 LCR196587:LCR196686 KSV196587:KSV196686 KIZ196587:KIZ196686 JZD196587:JZD196686 JPH196587:JPH196686 JFL196587:JFL196686 IVP196587:IVP196686 ILT196587:ILT196686 IBX196587:IBX196686 HSB196587:HSB196686 HIF196587:HIF196686 GYJ196587:GYJ196686 GON196587:GON196686 GER196587:GER196686 FUV196587:FUV196686 FKZ196587:FKZ196686 FBD196587:FBD196686 ERH196587:ERH196686 EHL196587:EHL196686 DXP196587:DXP196686 DNT196587:DNT196686 DDX196587:DDX196686 CUB196587:CUB196686 CKF196587:CKF196686 CAJ196587:CAJ196686 BQN196587:BQN196686 BGR196587:BGR196686 AWV196587:AWV196686 AMZ196587:AMZ196686 ADD196587:ADD196686 TH196587:TH196686 JL196587:JL196686 P196587:P196686 WVX131051:WVX131150 WMB131051:WMB131150 WCF131051:WCF131150 VSJ131051:VSJ131150 VIN131051:VIN131150 UYR131051:UYR131150 UOV131051:UOV131150 UEZ131051:UEZ131150 TVD131051:TVD131150 TLH131051:TLH131150 TBL131051:TBL131150 SRP131051:SRP131150 SHT131051:SHT131150 RXX131051:RXX131150 ROB131051:ROB131150 REF131051:REF131150 QUJ131051:QUJ131150 QKN131051:QKN131150 QAR131051:QAR131150 PQV131051:PQV131150 PGZ131051:PGZ131150 OXD131051:OXD131150 ONH131051:ONH131150 ODL131051:ODL131150 NTP131051:NTP131150 NJT131051:NJT131150 MZX131051:MZX131150 MQB131051:MQB131150 MGF131051:MGF131150 LWJ131051:LWJ131150 LMN131051:LMN131150 LCR131051:LCR131150 KSV131051:KSV131150 KIZ131051:KIZ131150 JZD131051:JZD131150 JPH131051:JPH131150 JFL131051:JFL131150 IVP131051:IVP131150 ILT131051:ILT131150 IBX131051:IBX131150 HSB131051:HSB131150 HIF131051:HIF131150 GYJ131051:GYJ131150 GON131051:GON131150 GER131051:GER131150 FUV131051:FUV131150 FKZ131051:FKZ131150 FBD131051:FBD131150 ERH131051:ERH131150 EHL131051:EHL131150 DXP131051:DXP131150 DNT131051:DNT131150 DDX131051:DDX131150 CUB131051:CUB131150 CKF131051:CKF131150 CAJ131051:CAJ131150 BQN131051:BQN131150 BGR131051:BGR131150 AWV131051:AWV131150 AMZ131051:AMZ131150 ADD131051:ADD131150 TH131051:TH131150 JL131051:JL131150 P131051:P131150 WVX65515:WVX65614 WMB65515:WMB65614 WCF65515:WCF65614 VSJ65515:VSJ65614 VIN65515:VIN65614 UYR65515:UYR65614 UOV65515:UOV65614 UEZ65515:UEZ65614 TVD65515:TVD65614 TLH65515:TLH65614 TBL65515:TBL65614 SRP65515:SRP65614 SHT65515:SHT65614 RXX65515:RXX65614 ROB65515:ROB65614 REF65515:REF65614 QUJ65515:QUJ65614 QKN65515:QKN65614 QAR65515:QAR65614 PQV65515:PQV65614 PGZ65515:PGZ65614 OXD65515:OXD65614 ONH65515:ONH65614 ODL65515:ODL65614 NTP65515:NTP65614 NJT65515:NJT65614 MZX65515:MZX65614 MQB65515:MQB65614 MGF65515:MGF65614 LWJ65515:LWJ65614 LMN65515:LMN65614 LCR65515:LCR65614 KSV65515:KSV65614 KIZ65515:KIZ65614 JZD65515:JZD65614 JPH65515:JPH65614 JFL65515:JFL65614 IVP65515:IVP65614 ILT65515:ILT65614 IBX65515:IBX65614 HSB65515:HSB65614 HIF65515:HIF65614 GYJ65515:GYJ65614 GON65515:GON65614 GER65515:GER65614 FUV65515:FUV65614 FKZ65515:FKZ65614 FBD65515:FBD65614 ERH65515:ERH65614 EHL65515:EHL65614 DXP65515:DXP65614 DNT65515:DNT65614 DDX65515:DDX65614 CUB65515:CUB65614 CKF65515:CKF65614 CAJ65515:CAJ65614 BQN65515:BQN65614 BGR65515:BGR65614 AWV65515:AWV65614 AMZ65515:AMZ65614 ADD65515:ADD65614 TH65515:TH65614 JL65515:JL65614 P65515:P65614" xr:uid="{109F9EC6-2A5B-4FBE-9882-A01DC84D45DD}">
      <formula1>$W$3:$W$8</formula1>
    </dataValidation>
    <dataValidation type="whole" allowBlank="1" showInputMessage="1" showErrorMessage="1" sqref="WVV983019:WVV983118 N65515:N65614 JJ65515:JJ65614 TF65515:TF65614 ADB65515:ADB65614 AMX65515:AMX65614 AWT65515:AWT65614 BGP65515:BGP65614 BQL65515:BQL65614 CAH65515:CAH65614 CKD65515:CKD65614 CTZ65515:CTZ65614 DDV65515:DDV65614 DNR65515:DNR65614 DXN65515:DXN65614 EHJ65515:EHJ65614 ERF65515:ERF65614 FBB65515:FBB65614 FKX65515:FKX65614 FUT65515:FUT65614 GEP65515:GEP65614 GOL65515:GOL65614 GYH65515:GYH65614 HID65515:HID65614 HRZ65515:HRZ65614 IBV65515:IBV65614 ILR65515:ILR65614 IVN65515:IVN65614 JFJ65515:JFJ65614 JPF65515:JPF65614 JZB65515:JZB65614 KIX65515:KIX65614 KST65515:KST65614 LCP65515:LCP65614 LML65515:LML65614 LWH65515:LWH65614 MGD65515:MGD65614 MPZ65515:MPZ65614 MZV65515:MZV65614 NJR65515:NJR65614 NTN65515:NTN65614 ODJ65515:ODJ65614 ONF65515:ONF65614 OXB65515:OXB65614 PGX65515:PGX65614 PQT65515:PQT65614 QAP65515:QAP65614 QKL65515:QKL65614 QUH65515:QUH65614 RED65515:RED65614 RNZ65515:RNZ65614 RXV65515:RXV65614 SHR65515:SHR65614 SRN65515:SRN65614 TBJ65515:TBJ65614 TLF65515:TLF65614 TVB65515:TVB65614 UEX65515:UEX65614 UOT65515:UOT65614 UYP65515:UYP65614 VIL65515:VIL65614 VSH65515:VSH65614 WCD65515:WCD65614 WLZ65515:WLZ65614 WVV65515:WVV65614 N131051:N131150 JJ131051:JJ131150 TF131051:TF131150 ADB131051:ADB131150 AMX131051:AMX131150 AWT131051:AWT131150 BGP131051:BGP131150 BQL131051:BQL131150 CAH131051:CAH131150 CKD131051:CKD131150 CTZ131051:CTZ131150 DDV131051:DDV131150 DNR131051:DNR131150 DXN131051:DXN131150 EHJ131051:EHJ131150 ERF131051:ERF131150 FBB131051:FBB131150 FKX131051:FKX131150 FUT131051:FUT131150 GEP131051:GEP131150 GOL131051:GOL131150 GYH131051:GYH131150 HID131051:HID131150 HRZ131051:HRZ131150 IBV131051:IBV131150 ILR131051:ILR131150 IVN131051:IVN131150 JFJ131051:JFJ131150 JPF131051:JPF131150 JZB131051:JZB131150 KIX131051:KIX131150 KST131051:KST131150 LCP131051:LCP131150 LML131051:LML131150 LWH131051:LWH131150 MGD131051:MGD131150 MPZ131051:MPZ131150 MZV131051:MZV131150 NJR131051:NJR131150 NTN131051:NTN131150 ODJ131051:ODJ131150 ONF131051:ONF131150 OXB131051:OXB131150 PGX131051:PGX131150 PQT131051:PQT131150 QAP131051:QAP131150 QKL131051:QKL131150 QUH131051:QUH131150 RED131051:RED131150 RNZ131051:RNZ131150 RXV131051:RXV131150 SHR131051:SHR131150 SRN131051:SRN131150 TBJ131051:TBJ131150 TLF131051:TLF131150 TVB131051:TVB131150 UEX131051:UEX131150 UOT131051:UOT131150 UYP131051:UYP131150 VIL131051:VIL131150 VSH131051:VSH131150 WCD131051:WCD131150 WLZ131051:WLZ131150 WVV131051:WVV131150 N196587:N196686 JJ196587:JJ196686 TF196587:TF196686 ADB196587:ADB196686 AMX196587:AMX196686 AWT196587:AWT196686 BGP196587:BGP196686 BQL196587:BQL196686 CAH196587:CAH196686 CKD196587:CKD196686 CTZ196587:CTZ196686 DDV196587:DDV196686 DNR196587:DNR196686 DXN196587:DXN196686 EHJ196587:EHJ196686 ERF196587:ERF196686 FBB196587:FBB196686 FKX196587:FKX196686 FUT196587:FUT196686 GEP196587:GEP196686 GOL196587:GOL196686 GYH196587:GYH196686 HID196587:HID196686 HRZ196587:HRZ196686 IBV196587:IBV196686 ILR196587:ILR196686 IVN196587:IVN196686 JFJ196587:JFJ196686 JPF196587:JPF196686 JZB196587:JZB196686 KIX196587:KIX196686 KST196587:KST196686 LCP196587:LCP196686 LML196587:LML196686 LWH196587:LWH196686 MGD196587:MGD196686 MPZ196587:MPZ196686 MZV196587:MZV196686 NJR196587:NJR196686 NTN196587:NTN196686 ODJ196587:ODJ196686 ONF196587:ONF196686 OXB196587:OXB196686 PGX196587:PGX196686 PQT196587:PQT196686 QAP196587:QAP196686 QKL196587:QKL196686 QUH196587:QUH196686 RED196587:RED196686 RNZ196587:RNZ196686 RXV196587:RXV196686 SHR196587:SHR196686 SRN196587:SRN196686 TBJ196587:TBJ196686 TLF196587:TLF196686 TVB196587:TVB196686 UEX196587:UEX196686 UOT196587:UOT196686 UYP196587:UYP196686 VIL196587:VIL196686 VSH196587:VSH196686 WCD196587:WCD196686 WLZ196587:WLZ196686 WVV196587:WVV196686 N262123:N262222 JJ262123:JJ262222 TF262123:TF262222 ADB262123:ADB262222 AMX262123:AMX262222 AWT262123:AWT262222 BGP262123:BGP262222 BQL262123:BQL262222 CAH262123:CAH262222 CKD262123:CKD262222 CTZ262123:CTZ262222 DDV262123:DDV262222 DNR262123:DNR262222 DXN262123:DXN262222 EHJ262123:EHJ262222 ERF262123:ERF262222 FBB262123:FBB262222 FKX262123:FKX262222 FUT262123:FUT262222 GEP262123:GEP262222 GOL262123:GOL262222 GYH262123:GYH262222 HID262123:HID262222 HRZ262123:HRZ262222 IBV262123:IBV262222 ILR262123:ILR262222 IVN262123:IVN262222 JFJ262123:JFJ262222 JPF262123:JPF262222 JZB262123:JZB262222 KIX262123:KIX262222 KST262123:KST262222 LCP262123:LCP262222 LML262123:LML262222 LWH262123:LWH262222 MGD262123:MGD262222 MPZ262123:MPZ262222 MZV262123:MZV262222 NJR262123:NJR262222 NTN262123:NTN262222 ODJ262123:ODJ262222 ONF262123:ONF262222 OXB262123:OXB262222 PGX262123:PGX262222 PQT262123:PQT262222 QAP262123:QAP262222 QKL262123:QKL262222 QUH262123:QUH262222 RED262123:RED262222 RNZ262123:RNZ262222 RXV262123:RXV262222 SHR262123:SHR262222 SRN262123:SRN262222 TBJ262123:TBJ262222 TLF262123:TLF262222 TVB262123:TVB262222 UEX262123:UEX262222 UOT262123:UOT262222 UYP262123:UYP262222 VIL262123:VIL262222 VSH262123:VSH262222 WCD262123:WCD262222 WLZ262123:WLZ262222 WVV262123:WVV262222 N327659:N327758 JJ327659:JJ327758 TF327659:TF327758 ADB327659:ADB327758 AMX327659:AMX327758 AWT327659:AWT327758 BGP327659:BGP327758 BQL327659:BQL327758 CAH327659:CAH327758 CKD327659:CKD327758 CTZ327659:CTZ327758 DDV327659:DDV327758 DNR327659:DNR327758 DXN327659:DXN327758 EHJ327659:EHJ327758 ERF327659:ERF327758 FBB327659:FBB327758 FKX327659:FKX327758 FUT327659:FUT327758 GEP327659:GEP327758 GOL327659:GOL327758 GYH327659:GYH327758 HID327659:HID327758 HRZ327659:HRZ327758 IBV327659:IBV327758 ILR327659:ILR327758 IVN327659:IVN327758 JFJ327659:JFJ327758 JPF327659:JPF327758 JZB327659:JZB327758 KIX327659:KIX327758 KST327659:KST327758 LCP327659:LCP327758 LML327659:LML327758 LWH327659:LWH327758 MGD327659:MGD327758 MPZ327659:MPZ327758 MZV327659:MZV327758 NJR327659:NJR327758 NTN327659:NTN327758 ODJ327659:ODJ327758 ONF327659:ONF327758 OXB327659:OXB327758 PGX327659:PGX327758 PQT327659:PQT327758 QAP327659:QAP327758 QKL327659:QKL327758 QUH327659:QUH327758 RED327659:RED327758 RNZ327659:RNZ327758 RXV327659:RXV327758 SHR327659:SHR327758 SRN327659:SRN327758 TBJ327659:TBJ327758 TLF327659:TLF327758 TVB327659:TVB327758 UEX327659:UEX327758 UOT327659:UOT327758 UYP327659:UYP327758 VIL327659:VIL327758 VSH327659:VSH327758 WCD327659:WCD327758 WLZ327659:WLZ327758 WVV327659:WVV327758 N393195:N393294 JJ393195:JJ393294 TF393195:TF393294 ADB393195:ADB393294 AMX393195:AMX393294 AWT393195:AWT393294 BGP393195:BGP393294 BQL393195:BQL393294 CAH393195:CAH393294 CKD393195:CKD393294 CTZ393195:CTZ393294 DDV393195:DDV393294 DNR393195:DNR393294 DXN393195:DXN393294 EHJ393195:EHJ393294 ERF393195:ERF393294 FBB393195:FBB393294 FKX393195:FKX393294 FUT393195:FUT393294 GEP393195:GEP393294 GOL393195:GOL393294 GYH393195:GYH393294 HID393195:HID393294 HRZ393195:HRZ393294 IBV393195:IBV393294 ILR393195:ILR393294 IVN393195:IVN393294 JFJ393195:JFJ393294 JPF393195:JPF393294 JZB393195:JZB393294 KIX393195:KIX393294 KST393195:KST393294 LCP393195:LCP393294 LML393195:LML393294 LWH393195:LWH393294 MGD393195:MGD393294 MPZ393195:MPZ393294 MZV393195:MZV393294 NJR393195:NJR393294 NTN393195:NTN393294 ODJ393195:ODJ393294 ONF393195:ONF393294 OXB393195:OXB393294 PGX393195:PGX393294 PQT393195:PQT393294 QAP393195:QAP393294 QKL393195:QKL393294 QUH393195:QUH393294 RED393195:RED393294 RNZ393195:RNZ393294 RXV393195:RXV393294 SHR393195:SHR393294 SRN393195:SRN393294 TBJ393195:TBJ393294 TLF393195:TLF393294 TVB393195:TVB393294 UEX393195:UEX393294 UOT393195:UOT393294 UYP393195:UYP393294 VIL393195:VIL393294 VSH393195:VSH393294 WCD393195:WCD393294 WLZ393195:WLZ393294 WVV393195:WVV393294 N458731:N458830 JJ458731:JJ458830 TF458731:TF458830 ADB458731:ADB458830 AMX458731:AMX458830 AWT458731:AWT458830 BGP458731:BGP458830 BQL458731:BQL458830 CAH458731:CAH458830 CKD458731:CKD458830 CTZ458731:CTZ458830 DDV458731:DDV458830 DNR458731:DNR458830 DXN458731:DXN458830 EHJ458731:EHJ458830 ERF458731:ERF458830 FBB458731:FBB458830 FKX458731:FKX458830 FUT458731:FUT458830 GEP458731:GEP458830 GOL458731:GOL458830 GYH458731:GYH458830 HID458731:HID458830 HRZ458731:HRZ458830 IBV458731:IBV458830 ILR458731:ILR458830 IVN458731:IVN458830 JFJ458731:JFJ458830 JPF458731:JPF458830 JZB458731:JZB458830 KIX458731:KIX458830 KST458731:KST458830 LCP458731:LCP458830 LML458731:LML458830 LWH458731:LWH458830 MGD458731:MGD458830 MPZ458731:MPZ458830 MZV458731:MZV458830 NJR458731:NJR458830 NTN458731:NTN458830 ODJ458731:ODJ458830 ONF458731:ONF458830 OXB458731:OXB458830 PGX458731:PGX458830 PQT458731:PQT458830 QAP458731:QAP458830 QKL458731:QKL458830 QUH458731:QUH458830 RED458731:RED458830 RNZ458731:RNZ458830 RXV458731:RXV458830 SHR458731:SHR458830 SRN458731:SRN458830 TBJ458731:TBJ458830 TLF458731:TLF458830 TVB458731:TVB458830 UEX458731:UEX458830 UOT458731:UOT458830 UYP458731:UYP458830 VIL458731:VIL458830 VSH458731:VSH458830 WCD458731:WCD458830 WLZ458731:WLZ458830 WVV458731:WVV458830 N524267:N524366 JJ524267:JJ524366 TF524267:TF524366 ADB524267:ADB524366 AMX524267:AMX524366 AWT524267:AWT524366 BGP524267:BGP524366 BQL524267:BQL524366 CAH524267:CAH524366 CKD524267:CKD524366 CTZ524267:CTZ524366 DDV524267:DDV524366 DNR524267:DNR524366 DXN524267:DXN524366 EHJ524267:EHJ524366 ERF524267:ERF524366 FBB524267:FBB524366 FKX524267:FKX524366 FUT524267:FUT524366 GEP524267:GEP524366 GOL524267:GOL524366 GYH524267:GYH524366 HID524267:HID524366 HRZ524267:HRZ524366 IBV524267:IBV524366 ILR524267:ILR524366 IVN524267:IVN524366 JFJ524267:JFJ524366 JPF524267:JPF524366 JZB524267:JZB524366 KIX524267:KIX524366 KST524267:KST524366 LCP524267:LCP524366 LML524267:LML524366 LWH524267:LWH524366 MGD524267:MGD524366 MPZ524267:MPZ524366 MZV524267:MZV524366 NJR524267:NJR524366 NTN524267:NTN524366 ODJ524267:ODJ524366 ONF524267:ONF524366 OXB524267:OXB524366 PGX524267:PGX524366 PQT524267:PQT524366 QAP524267:QAP524366 QKL524267:QKL524366 QUH524267:QUH524366 RED524267:RED524366 RNZ524267:RNZ524366 RXV524267:RXV524366 SHR524267:SHR524366 SRN524267:SRN524366 TBJ524267:TBJ524366 TLF524267:TLF524366 TVB524267:TVB524366 UEX524267:UEX524366 UOT524267:UOT524366 UYP524267:UYP524366 VIL524267:VIL524366 VSH524267:VSH524366 WCD524267:WCD524366 WLZ524267:WLZ524366 WVV524267:WVV524366 N589803:N589902 JJ589803:JJ589902 TF589803:TF589902 ADB589803:ADB589902 AMX589803:AMX589902 AWT589803:AWT589902 BGP589803:BGP589902 BQL589803:BQL589902 CAH589803:CAH589902 CKD589803:CKD589902 CTZ589803:CTZ589902 DDV589803:DDV589902 DNR589803:DNR589902 DXN589803:DXN589902 EHJ589803:EHJ589902 ERF589803:ERF589902 FBB589803:FBB589902 FKX589803:FKX589902 FUT589803:FUT589902 GEP589803:GEP589902 GOL589803:GOL589902 GYH589803:GYH589902 HID589803:HID589902 HRZ589803:HRZ589902 IBV589803:IBV589902 ILR589803:ILR589902 IVN589803:IVN589902 JFJ589803:JFJ589902 JPF589803:JPF589902 JZB589803:JZB589902 KIX589803:KIX589902 KST589803:KST589902 LCP589803:LCP589902 LML589803:LML589902 LWH589803:LWH589902 MGD589803:MGD589902 MPZ589803:MPZ589902 MZV589803:MZV589902 NJR589803:NJR589902 NTN589803:NTN589902 ODJ589803:ODJ589902 ONF589803:ONF589902 OXB589803:OXB589902 PGX589803:PGX589902 PQT589803:PQT589902 QAP589803:QAP589902 QKL589803:QKL589902 QUH589803:QUH589902 RED589803:RED589902 RNZ589803:RNZ589902 RXV589803:RXV589902 SHR589803:SHR589902 SRN589803:SRN589902 TBJ589803:TBJ589902 TLF589803:TLF589902 TVB589803:TVB589902 UEX589803:UEX589902 UOT589803:UOT589902 UYP589803:UYP589902 VIL589803:VIL589902 VSH589803:VSH589902 WCD589803:WCD589902 WLZ589803:WLZ589902 WVV589803:WVV589902 N655339:N655438 JJ655339:JJ655438 TF655339:TF655438 ADB655339:ADB655438 AMX655339:AMX655438 AWT655339:AWT655438 BGP655339:BGP655438 BQL655339:BQL655438 CAH655339:CAH655438 CKD655339:CKD655438 CTZ655339:CTZ655438 DDV655339:DDV655438 DNR655339:DNR655438 DXN655339:DXN655438 EHJ655339:EHJ655438 ERF655339:ERF655438 FBB655339:FBB655438 FKX655339:FKX655438 FUT655339:FUT655438 GEP655339:GEP655438 GOL655339:GOL655438 GYH655339:GYH655438 HID655339:HID655438 HRZ655339:HRZ655438 IBV655339:IBV655438 ILR655339:ILR655438 IVN655339:IVN655438 JFJ655339:JFJ655438 JPF655339:JPF655438 JZB655339:JZB655438 KIX655339:KIX655438 KST655339:KST655438 LCP655339:LCP655438 LML655339:LML655438 LWH655339:LWH655438 MGD655339:MGD655438 MPZ655339:MPZ655438 MZV655339:MZV655438 NJR655339:NJR655438 NTN655339:NTN655438 ODJ655339:ODJ655438 ONF655339:ONF655438 OXB655339:OXB655438 PGX655339:PGX655438 PQT655339:PQT655438 QAP655339:QAP655438 QKL655339:QKL655438 QUH655339:QUH655438 RED655339:RED655438 RNZ655339:RNZ655438 RXV655339:RXV655438 SHR655339:SHR655438 SRN655339:SRN655438 TBJ655339:TBJ655438 TLF655339:TLF655438 TVB655339:TVB655438 UEX655339:UEX655438 UOT655339:UOT655438 UYP655339:UYP655438 VIL655339:VIL655438 VSH655339:VSH655438 WCD655339:WCD655438 WLZ655339:WLZ655438 WVV655339:WVV655438 N720875:N720974 JJ720875:JJ720974 TF720875:TF720974 ADB720875:ADB720974 AMX720875:AMX720974 AWT720875:AWT720974 BGP720875:BGP720974 BQL720875:BQL720974 CAH720875:CAH720974 CKD720875:CKD720974 CTZ720875:CTZ720974 DDV720875:DDV720974 DNR720875:DNR720974 DXN720875:DXN720974 EHJ720875:EHJ720974 ERF720875:ERF720974 FBB720875:FBB720974 FKX720875:FKX720974 FUT720875:FUT720974 GEP720875:GEP720974 GOL720875:GOL720974 GYH720875:GYH720974 HID720875:HID720974 HRZ720875:HRZ720974 IBV720875:IBV720974 ILR720875:ILR720974 IVN720875:IVN720974 JFJ720875:JFJ720974 JPF720875:JPF720974 JZB720875:JZB720974 KIX720875:KIX720974 KST720875:KST720974 LCP720875:LCP720974 LML720875:LML720974 LWH720875:LWH720974 MGD720875:MGD720974 MPZ720875:MPZ720974 MZV720875:MZV720974 NJR720875:NJR720974 NTN720875:NTN720974 ODJ720875:ODJ720974 ONF720875:ONF720974 OXB720875:OXB720974 PGX720875:PGX720974 PQT720875:PQT720974 QAP720875:QAP720974 QKL720875:QKL720974 QUH720875:QUH720974 RED720875:RED720974 RNZ720875:RNZ720974 RXV720875:RXV720974 SHR720875:SHR720974 SRN720875:SRN720974 TBJ720875:TBJ720974 TLF720875:TLF720974 TVB720875:TVB720974 UEX720875:UEX720974 UOT720875:UOT720974 UYP720875:UYP720974 VIL720875:VIL720974 VSH720875:VSH720974 WCD720875:WCD720974 WLZ720875:WLZ720974 WVV720875:WVV720974 N786411:N786510 JJ786411:JJ786510 TF786411:TF786510 ADB786411:ADB786510 AMX786411:AMX786510 AWT786411:AWT786510 BGP786411:BGP786510 BQL786411:BQL786510 CAH786411:CAH786510 CKD786411:CKD786510 CTZ786411:CTZ786510 DDV786411:DDV786510 DNR786411:DNR786510 DXN786411:DXN786510 EHJ786411:EHJ786510 ERF786411:ERF786510 FBB786411:FBB786510 FKX786411:FKX786510 FUT786411:FUT786510 GEP786411:GEP786510 GOL786411:GOL786510 GYH786411:GYH786510 HID786411:HID786510 HRZ786411:HRZ786510 IBV786411:IBV786510 ILR786411:ILR786510 IVN786411:IVN786510 JFJ786411:JFJ786510 JPF786411:JPF786510 JZB786411:JZB786510 KIX786411:KIX786510 KST786411:KST786510 LCP786411:LCP786510 LML786411:LML786510 LWH786411:LWH786510 MGD786411:MGD786510 MPZ786411:MPZ786510 MZV786411:MZV786510 NJR786411:NJR786510 NTN786411:NTN786510 ODJ786411:ODJ786510 ONF786411:ONF786510 OXB786411:OXB786510 PGX786411:PGX786510 PQT786411:PQT786510 QAP786411:QAP786510 QKL786411:QKL786510 QUH786411:QUH786510 RED786411:RED786510 RNZ786411:RNZ786510 RXV786411:RXV786510 SHR786411:SHR786510 SRN786411:SRN786510 TBJ786411:TBJ786510 TLF786411:TLF786510 TVB786411:TVB786510 UEX786411:UEX786510 UOT786411:UOT786510 UYP786411:UYP786510 VIL786411:VIL786510 VSH786411:VSH786510 WCD786411:WCD786510 WLZ786411:WLZ786510 WVV786411:WVV786510 N851947:N852046 JJ851947:JJ852046 TF851947:TF852046 ADB851947:ADB852046 AMX851947:AMX852046 AWT851947:AWT852046 BGP851947:BGP852046 BQL851947:BQL852046 CAH851947:CAH852046 CKD851947:CKD852046 CTZ851947:CTZ852046 DDV851947:DDV852046 DNR851947:DNR852046 DXN851947:DXN852046 EHJ851947:EHJ852046 ERF851947:ERF852046 FBB851947:FBB852046 FKX851947:FKX852046 FUT851947:FUT852046 GEP851947:GEP852046 GOL851947:GOL852046 GYH851947:GYH852046 HID851947:HID852046 HRZ851947:HRZ852046 IBV851947:IBV852046 ILR851947:ILR852046 IVN851947:IVN852046 JFJ851947:JFJ852046 JPF851947:JPF852046 JZB851947:JZB852046 KIX851947:KIX852046 KST851947:KST852046 LCP851947:LCP852046 LML851947:LML852046 LWH851947:LWH852046 MGD851947:MGD852046 MPZ851947:MPZ852046 MZV851947:MZV852046 NJR851947:NJR852046 NTN851947:NTN852046 ODJ851947:ODJ852046 ONF851947:ONF852046 OXB851947:OXB852046 PGX851947:PGX852046 PQT851947:PQT852046 QAP851947:QAP852046 QKL851947:QKL852046 QUH851947:QUH852046 RED851947:RED852046 RNZ851947:RNZ852046 RXV851947:RXV852046 SHR851947:SHR852046 SRN851947:SRN852046 TBJ851947:TBJ852046 TLF851947:TLF852046 TVB851947:TVB852046 UEX851947:UEX852046 UOT851947:UOT852046 UYP851947:UYP852046 VIL851947:VIL852046 VSH851947:VSH852046 WCD851947:WCD852046 WLZ851947:WLZ852046 WVV851947:WVV852046 N917483:N917582 JJ917483:JJ917582 TF917483:TF917582 ADB917483:ADB917582 AMX917483:AMX917582 AWT917483:AWT917582 BGP917483:BGP917582 BQL917483:BQL917582 CAH917483:CAH917582 CKD917483:CKD917582 CTZ917483:CTZ917582 DDV917483:DDV917582 DNR917483:DNR917582 DXN917483:DXN917582 EHJ917483:EHJ917582 ERF917483:ERF917582 FBB917483:FBB917582 FKX917483:FKX917582 FUT917483:FUT917582 GEP917483:GEP917582 GOL917483:GOL917582 GYH917483:GYH917582 HID917483:HID917582 HRZ917483:HRZ917582 IBV917483:IBV917582 ILR917483:ILR917582 IVN917483:IVN917582 JFJ917483:JFJ917582 JPF917483:JPF917582 JZB917483:JZB917582 KIX917483:KIX917582 KST917483:KST917582 LCP917483:LCP917582 LML917483:LML917582 LWH917483:LWH917582 MGD917483:MGD917582 MPZ917483:MPZ917582 MZV917483:MZV917582 NJR917483:NJR917582 NTN917483:NTN917582 ODJ917483:ODJ917582 ONF917483:ONF917582 OXB917483:OXB917582 PGX917483:PGX917582 PQT917483:PQT917582 QAP917483:QAP917582 QKL917483:QKL917582 QUH917483:QUH917582 RED917483:RED917582 RNZ917483:RNZ917582 RXV917483:RXV917582 SHR917483:SHR917582 SRN917483:SRN917582 TBJ917483:TBJ917582 TLF917483:TLF917582 TVB917483:TVB917582 UEX917483:UEX917582 UOT917483:UOT917582 UYP917483:UYP917582 VIL917483:VIL917582 VSH917483:VSH917582 WCD917483:WCD917582 WLZ917483:WLZ917582 WVV917483:WVV917582 N983019:N983118 JJ983019:JJ983118 TF983019:TF983118 ADB983019:ADB983118 AMX983019:AMX983118 AWT983019:AWT983118 BGP983019:BGP983118 BQL983019:BQL983118 CAH983019:CAH983118 CKD983019:CKD983118 CTZ983019:CTZ983118 DDV983019:DDV983118 DNR983019:DNR983118 DXN983019:DXN983118 EHJ983019:EHJ983118 ERF983019:ERF983118 FBB983019:FBB983118 FKX983019:FKX983118 FUT983019:FUT983118 GEP983019:GEP983118 GOL983019:GOL983118 GYH983019:GYH983118 HID983019:HID983118 HRZ983019:HRZ983118 IBV983019:IBV983118 ILR983019:ILR983118 IVN983019:IVN983118 JFJ983019:JFJ983118 JPF983019:JPF983118 JZB983019:JZB983118 KIX983019:KIX983118 KST983019:KST983118 LCP983019:LCP983118 LML983019:LML983118 LWH983019:LWH983118 MGD983019:MGD983118 MPZ983019:MPZ983118 MZV983019:MZV983118 NJR983019:NJR983118 NTN983019:NTN983118 ODJ983019:ODJ983118 ONF983019:ONF983118 OXB983019:OXB983118 PGX983019:PGX983118 PQT983019:PQT983118 QAP983019:QAP983118 QKL983019:QKL983118 QUH983019:QUH983118 RED983019:RED983118 RNZ983019:RNZ983118 RXV983019:RXV983118 SHR983019:SHR983118 SRN983019:SRN983118 TBJ983019:TBJ983118 TLF983019:TLF983118 TVB983019:TVB983118 UEX983019:UEX983118 UOT983019:UOT983118 UYP983019:UYP983118 VIL983019:VIL983118 VSH983019:VSH983118 WCD983019:WCD983118 WLZ983019:WLZ983118 N6:N39 WVV6:WVV78 WLZ6:WLZ78 WCD6:WCD78 VSH6:VSH78 VIL6:VIL78 UYP6:UYP78 UOT6:UOT78 UEX6:UEX78 TVB6:TVB78 TLF6:TLF78 TBJ6:TBJ78 SRN6:SRN78 SHR6:SHR78 RXV6:RXV78 RNZ6:RNZ78 RED6:RED78 QUH6:QUH78 QKL6:QKL78 QAP6:QAP78 PQT6:PQT78 PGX6:PGX78 OXB6:OXB78 ONF6:ONF78 ODJ6:ODJ78 NTN6:NTN78 NJR6:NJR78 MZV6:MZV78 MPZ6:MPZ78 MGD6:MGD78 LWH6:LWH78 LML6:LML78 LCP6:LCP78 KST6:KST78 KIX6:KIX78 JZB6:JZB78 JPF6:JPF78 JFJ6:JFJ78 IVN6:IVN78 ILR6:ILR78 IBV6:IBV78 HRZ6:HRZ78 HID6:HID78 GYH6:GYH78 GOL6:GOL78 GEP6:GEP78 FUT6:FUT78 FKX6:FKX78 FBB6:FBB78 ERF6:ERF78 EHJ6:EHJ78 DXN6:DXN78 DNR6:DNR78 DDV6:DDV78 CTZ6:CTZ78 CKD6:CKD78 CAH6:CAH78 BQL6:BQL78 BGP6:BGP78 AWT6:AWT78 AMX6:AMX78 ADB6:ADB78 TF6:TF78 JJ6:JJ78" xr:uid="{EE537D81-43D7-4524-AC84-813B232954E1}">
      <formula1>0</formula1>
      <formula2>10</formula2>
    </dataValidation>
    <dataValidation type="list" allowBlank="1" showInputMessage="1" showErrorMessage="1" sqref="WVS983019:WVU983118 JG6:JI78 TC6:TE78 ACY6:ADA78 AMU6:AMW78 AWQ6:AWS78 BGM6:BGO78 BQI6:BQK78 CAE6:CAG78 CKA6:CKC78 CTW6:CTY78 DDS6:DDU78 DNO6:DNQ78 DXK6:DXM78 EHG6:EHI78 ERC6:ERE78 FAY6:FBA78 FKU6:FKW78 FUQ6:FUS78 GEM6:GEO78 GOI6:GOK78 GYE6:GYG78 HIA6:HIC78 HRW6:HRY78 IBS6:IBU78 ILO6:ILQ78 IVK6:IVM78 JFG6:JFI78 JPC6:JPE78 JYY6:JZA78 KIU6:KIW78 KSQ6:KSS78 LCM6:LCO78 LMI6:LMK78 LWE6:LWG78 MGA6:MGC78 MPW6:MPY78 MZS6:MZU78 NJO6:NJQ78 NTK6:NTM78 ODG6:ODI78 ONC6:ONE78 OWY6:OXA78 PGU6:PGW78 PQQ6:PQS78 QAM6:QAO78 QKI6:QKK78 QUE6:QUG78 REA6:REC78 RNW6:RNY78 RXS6:RXU78 SHO6:SHQ78 SRK6:SRM78 TBG6:TBI78 TLC6:TLE78 TUY6:TVA78 UEU6:UEW78 UOQ6:UOS78 UYM6:UYO78 VII6:VIK78 VSE6:VSG78 WCA6:WCC78 WLW6:WLY78 WVS6:WVU78 K6:M39 WLW983019:WLY983118 WCA983019:WCC983118 VSE983019:VSG983118 VII983019:VIK983118 UYM983019:UYO983118 UOQ983019:UOS983118 UEU983019:UEW983118 TUY983019:TVA983118 TLC983019:TLE983118 TBG983019:TBI983118 SRK983019:SRM983118 SHO983019:SHQ983118 RXS983019:RXU983118 RNW983019:RNY983118 REA983019:REC983118 QUE983019:QUG983118 QKI983019:QKK983118 QAM983019:QAO983118 PQQ983019:PQS983118 PGU983019:PGW983118 OWY983019:OXA983118 ONC983019:ONE983118 ODG983019:ODI983118 NTK983019:NTM983118 NJO983019:NJQ983118 MZS983019:MZU983118 MPW983019:MPY983118 MGA983019:MGC983118 LWE983019:LWG983118 LMI983019:LMK983118 LCM983019:LCO983118 KSQ983019:KSS983118 KIU983019:KIW983118 JYY983019:JZA983118 JPC983019:JPE983118 JFG983019:JFI983118 IVK983019:IVM983118 ILO983019:ILQ983118 IBS983019:IBU983118 HRW983019:HRY983118 HIA983019:HIC983118 GYE983019:GYG983118 GOI983019:GOK983118 GEM983019:GEO983118 FUQ983019:FUS983118 FKU983019:FKW983118 FAY983019:FBA983118 ERC983019:ERE983118 EHG983019:EHI983118 DXK983019:DXM983118 DNO983019:DNQ983118 DDS983019:DDU983118 CTW983019:CTY983118 CKA983019:CKC983118 CAE983019:CAG983118 BQI983019:BQK983118 BGM983019:BGO983118 AWQ983019:AWS983118 AMU983019:AMW983118 ACY983019:ADA983118 TC983019:TE983118 JG983019:JI983118 K983019:M983118 WVS917483:WVU917582 WLW917483:WLY917582 WCA917483:WCC917582 VSE917483:VSG917582 VII917483:VIK917582 UYM917483:UYO917582 UOQ917483:UOS917582 UEU917483:UEW917582 TUY917483:TVA917582 TLC917483:TLE917582 TBG917483:TBI917582 SRK917483:SRM917582 SHO917483:SHQ917582 RXS917483:RXU917582 RNW917483:RNY917582 REA917483:REC917582 QUE917483:QUG917582 QKI917483:QKK917582 QAM917483:QAO917582 PQQ917483:PQS917582 PGU917483:PGW917582 OWY917483:OXA917582 ONC917483:ONE917582 ODG917483:ODI917582 NTK917483:NTM917582 NJO917483:NJQ917582 MZS917483:MZU917582 MPW917483:MPY917582 MGA917483:MGC917582 LWE917483:LWG917582 LMI917483:LMK917582 LCM917483:LCO917582 KSQ917483:KSS917582 KIU917483:KIW917582 JYY917483:JZA917582 JPC917483:JPE917582 JFG917483:JFI917582 IVK917483:IVM917582 ILO917483:ILQ917582 IBS917483:IBU917582 HRW917483:HRY917582 HIA917483:HIC917582 GYE917483:GYG917582 GOI917483:GOK917582 GEM917483:GEO917582 FUQ917483:FUS917582 FKU917483:FKW917582 FAY917483:FBA917582 ERC917483:ERE917582 EHG917483:EHI917582 DXK917483:DXM917582 DNO917483:DNQ917582 DDS917483:DDU917582 CTW917483:CTY917582 CKA917483:CKC917582 CAE917483:CAG917582 BQI917483:BQK917582 BGM917483:BGO917582 AWQ917483:AWS917582 AMU917483:AMW917582 ACY917483:ADA917582 TC917483:TE917582 JG917483:JI917582 K917483:M917582 WVS851947:WVU852046 WLW851947:WLY852046 WCA851947:WCC852046 VSE851947:VSG852046 VII851947:VIK852046 UYM851947:UYO852046 UOQ851947:UOS852046 UEU851947:UEW852046 TUY851947:TVA852046 TLC851947:TLE852046 TBG851947:TBI852046 SRK851947:SRM852046 SHO851947:SHQ852046 RXS851947:RXU852046 RNW851947:RNY852046 REA851947:REC852046 QUE851947:QUG852046 QKI851947:QKK852046 QAM851947:QAO852046 PQQ851947:PQS852046 PGU851947:PGW852046 OWY851947:OXA852046 ONC851947:ONE852046 ODG851947:ODI852046 NTK851947:NTM852046 NJO851947:NJQ852046 MZS851947:MZU852046 MPW851947:MPY852046 MGA851947:MGC852046 LWE851947:LWG852046 LMI851947:LMK852046 LCM851947:LCO852046 KSQ851947:KSS852046 KIU851947:KIW852046 JYY851947:JZA852046 JPC851947:JPE852046 JFG851947:JFI852046 IVK851947:IVM852046 ILO851947:ILQ852046 IBS851947:IBU852046 HRW851947:HRY852046 HIA851947:HIC852046 GYE851947:GYG852046 GOI851947:GOK852046 GEM851947:GEO852046 FUQ851947:FUS852046 FKU851947:FKW852046 FAY851947:FBA852046 ERC851947:ERE852046 EHG851947:EHI852046 DXK851947:DXM852046 DNO851947:DNQ852046 DDS851947:DDU852046 CTW851947:CTY852046 CKA851947:CKC852046 CAE851947:CAG852046 BQI851947:BQK852046 BGM851947:BGO852046 AWQ851947:AWS852046 AMU851947:AMW852046 ACY851947:ADA852046 TC851947:TE852046 JG851947:JI852046 K851947:M852046 WVS786411:WVU786510 WLW786411:WLY786510 WCA786411:WCC786510 VSE786411:VSG786510 VII786411:VIK786510 UYM786411:UYO786510 UOQ786411:UOS786510 UEU786411:UEW786510 TUY786411:TVA786510 TLC786411:TLE786510 TBG786411:TBI786510 SRK786411:SRM786510 SHO786411:SHQ786510 RXS786411:RXU786510 RNW786411:RNY786510 REA786411:REC786510 QUE786411:QUG786510 QKI786411:QKK786510 QAM786411:QAO786510 PQQ786411:PQS786510 PGU786411:PGW786510 OWY786411:OXA786510 ONC786411:ONE786510 ODG786411:ODI786510 NTK786411:NTM786510 NJO786411:NJQ786510 MZS786411:MZU786510 MPW786411:MPY786510 MGA786411:MGC786510 LWE786411:LWG786510 LMI786411:LMK786510 LCM786411:LCO786510 KSQ786411:KSS786510 KIU786411:KIW786510 JYY786411:JZA786510 JPC786411:JPE786510 JFG786411:JFI786510 IVK786411:IVM786510 ILO786411:ILQ786510 IBS786411:IBU786510 HRW786411:HRY786510 HIA786411:HIC786510 GYE786411:GYG786510 GOI786411:GOK786510 GEM786411:GEO786510 FUQ786411:FUS786510 FKU786411:FKW786510 FAY786411:FBA786510 ERC786411:ERE786510 EHG786411:EHI786510 DXK786411:DXM786510 DNO786411:DNQ786510 DDS786411:DDU786510 CTW786411:CTY786510 CKA786411:CKC786510 CAE786411:CAG786510 BQI786411:BQK786510 BGM786411:BGO786510 AWQ786411:AWS786510 AMU786411:AMW786510 ACY786411:ADA786510 TC786411:TE786510 JG786411:JI786510 K786411:M786510 WVS720875:WVU720974 WLW720875:WLY720974 WCA720875:WCC720974 VSE720875:VSG720974 VII720875:VIK720974 UYM720875:UYO720974 UOQ720875:UOS720974 UEU720875:UEW720974 TUY720875:TVA720974 TLC720875:TLE720974 TBG720875:TBI720974 SRK720875:SRM720974 SHO720875:SHQ720974 RXS720875:RXU720974 RNW720875:RNY720974 REA720875:REC720974 QUE720875:QUG720974 QKI720875:QKK720974 QAM720875:QAO720974 PQQ720875:PQS720974 PGU720875:PGW720974 OWY720875:OXA720974 ONC720875:ONE720974 ODG720875:ODI720974 NTK720875:NTM720974 NJO720875:NJQ720974 MZS720875:MZU720974 MPW720875:MPY720974 MGA720875:MGC720974 LWE720875:LWG720974 LMI720875:LMK720974 LCM720875:LCO720974 KSQ720875:KSS720974 KIU720875:KIW720974 JYY720875:JZA720974 JPC720875:JPE720974 JFG720875:JFI720974 IVK720875:IVM720974 ILO720875:ILQ720974 IBS720875:IBU720974 HRW720875:HRY720974 HIA720875:HIC720974 GYE720875:GYG720974 GOI720875:GOK720974 GEM720875:GEO720974 FUQ720875:FUS720974 FKU720875:FKW720974 FAY720875:FBA720974 ERC720875:ERE720974 EHG720875:EHI720974 DXK720875:DXM720974 DNO720875:DNQ720974 DDS720875:DDU720974 CTW720875:CTY720974 CKA720875:CKC720974 CAE720875:CAG720974 BQI720875:BQK720974 BGM720875:BGO720974 AWQ720875:AWS720974 AMU720875:AMW720974 ACY720875:ADA720974 TC720875:TE720974 JG720875:JI720974 K720875:M720974 WVS655339:WVU655438 WLW655339:WLY655438 WCA655339:WCC655438 VSE655339:VSG655438 VII655339:VIK655438 UYM655339:UYO655438 UOQ655339:UOS655438 UEU655339:UEW655438 TUY655339:TVA655438 TLC655339:TLE655438 TBG655339:TBI655438 SRK655339:SRM655438 SHO655339:SHQ655438 RXS655339:RXU655438 RNW655339:RNY655438 REA655339:REC655438 QUE655339:QUG655438 QKI655339:QKK655438 QAM655339:QAO655438 PQQ655339:PQS655438 PGU655339:PGW655438 OWY655339:OXA655438 ONC655339:ONE655438 ODG655339:ODI655438 NTK655339:NTM655438 NJO655339:NJQ655438 MZS655339:MZU655438 MPW655339:MPY655438 MGA655339:MGC655438 LWE655339:LWG655438 LMI655339:LMK655438 LCM655339:LCO655438 KSQ655339:KSS655438 KIU655339:KIW655438 JYY655339:JZA655438 JPC655339:JPE655438 JFG655339:JFI655438 IVK655339:IVM655438 ILO655339:ILQ655438 IBS655339:IBU655438 HRW655339:HRY655438 HIA655339:HIC655438 GYE655339:GYG655438 GOI655339:GOK655438 GEM655339:GEO655438 FUQ655339:FUS655438 FKU655339:FKW655438 FAY655339:FBA655438 ERC655339:ERE655438 EHG655339:EHI655438 DXK655339:DXM655438 DNO655339:DNQ655438 DDS655339:DDU655438 CTW655339:CTY655438 CKA655339:CKC655438 CAE655339:CAG655438 BQI655339:BQK655438 BGM655339:BGO655438 AWQ655339:AWS655438 AMU655339:AMW655438 ACY655339:ADA655438 TC655339:TE655438 JG655339:JI655438 K655339:M655438 WVS589803:WVU589902 WLW589803:WLY589902 WCA589803:WCC589902 VSE589803:VSG589902 VII589803:VIK589902 UYM589803:UYO589902 UOQ589803:UOS589902 UEU589803:UEW589902 TUY589803:TVA589902 TLC589803:TLE589902 TBG589803:TBI589902 SRK589803:SRM589902 SHO589803:SHQ589902 RXS589803:RXU589902 RNW589803:RNY589902 REA589803:REC589902 QUE589803:QUG589902 QKI589803:QKK589902 QAM589803:QAO589902 PQQ589803:PQS589902 PGU589803:PGW589902 OWY589803:OXA589902 ONC589803:ONE589902 ODG589803:ODI589902 NTK589803:NTM589902 NJO589803:NJQ589902 MZS589803:MZU589902 MPW589803:MPY589902 MGA589803:MGC589902 LWE589803:LWG589902 LMI589803:LMK589902 LCM589803:LCO589902 KSQ589803:KSS589902 KIU589803:KIW589902 JYY589803:JZA589902 JPC589803:JPE589902 JFG589803:JFI589902 IVK589803:IVM589902 ILO589803:ILQ589902 IBS589803:IBU589902 HRW589803:HRY589902 HIA589803:HIC589902 GYE589803:GYG589902 GOI589803:GOK589902 GEM589803:GEO589902 FUQ589803:FUS589902 FKU589803:FKW589902 FAY589803:FBA589902 ERC589803:ERE589902 EHG589803:EHI589902 DXK589803:DXM589902 DNO589803:DNQ589902 DDS589803:DDU589902 CTW589803:CTY589902 CKA589803:CKC589902 CAE589803:CAG589902 BQI589803:BQK589902 BGM589803:BGO589902 AWQ589803:AWS589902 AMU589803:AMW589902 ACY589803:ADA589902 TC589803:TE589902 JG589803:JI589902 K589803:M589902 WVS524267:WVU524366 WLW524267:WLY524366 WCA524267:WCC524366 VSE524267:VSG524366 VII524267:VIK524366 UYM524267:UYO524366 UOQ524267:UOS524366 UEU524267:UEW524366 TUY524267:TVA524366 TLC524267:TLE524366 TBG524267:TBI524366 SRK524267:SRM524366 SHO524267:SHQ524366 RXS524267:RXU524366 RNW524267:RNY524366 REA524267:REC524366 QUE524267:QUG524366 QKI524267:QKK524366 QAM524267:QAO524366 PQQ524267:PQS524366 PGU524267:PGW524366 OWY524267:OXA524366 ONC524267:ONE524366 ODG524267:ODI524366 NTK524267:NTM524366 NJO524267:NJQ524366 MZS524267:MZU524366 MPW524267:MPY524366 MGA524267:MGC524366 LWE524267:LWG524366 LMI524267:LMK524366 LCM524267:LCO524366 KSQ524267:KSS524366 KIU524267:KIW524366 JYY524267:JZA524366 JPC524267:JPE524366 JFG524267:JFI524366 IVK524267:IVM524366 ILO524267:ILQ524366 IBS524267:IBU524366 HRW524267:HRY524366 HIA524267:HIC524366 GYE524267:GYG524366 GOI524267:GOK524366 GEM524267:GEO524366 FUQ524267:FUS524366 FKU524267:FKW524366 FAY524267:FBA524366 ERC524267:ERE524366 EHG524267:EHI524366 DXK524267:DXM524366 DNO524267:DNQ524366 DDS524267:DDU524366 CTW524267:CTY524366 CKA524267:CKC524366 CAE524267:CAG524366 BQI524267:BQK524366 BGM524267:BGO524366 AWQ524267:AWS524366 AMU524267:AMW524366 ACY524267:ADA524366 TC524267:TE524366 JG524267:JI524366 K524267:M524366 WVS458731:WVU458830 WLW458731:WLY458830 WCA458731:WCC458830 VSE458731:VSG458830 VII458731:VIK458830 UYM458731:UYO458830 UOQ458731:UOS458830 UEU458731:UEW458830 TUY458731:TVA458830 TLC458731:TLE458830 TBG458731:TBI458830 SRK458731:SRM458830 SHO458731:SHQ458830 RXS458731:RXU458830 RNW458731:RNY458830 REA458731:REC458830 QUE458731:QUG458830 QKI458731:QKK458830 QAM458731:QAO458830 PQQ458731:PQS458830 PGU458731:PGW458830 OWY458731:OXA458830 ONC458731:ONE458830 ODG458731:ODI458830 NTK458731:NTM458830 NJO458731:NJQ458830 MZS458731:MZU458830 MPW458731:MPY458830 MGA458731:MGC458830 LWE458731:LWG458830 LMI458731:LMK458830 LCM458731:LCO458830 KSQ458731:KSS458830 KIU458731:KIW458830 JYY458731:JZA458830 JPC458731:JPE458830 JFG458731:JFI458830 IVK458731:IVM458830 ILO458731:ILQ458830 IBS458731:IBU458830 HRW458731:HRY458830 HIA458731:HIC458830 GYE458731:GYG458830 GOI458731:GOK458830 GEM458731:GEO458830 FUQ458731:FUS458830 FKU458731:FKW458830 FAY458731:FBA458830 ERC458731:ERE458830 EHG458731:EHI458830 DXK458731:DXM458830 DNO458731:DNQ458830 DDS458731:DDU458830 CTW458731:CTY458830 CKA458731:CKC458830 CAE458731:CAG458830 BQI458731:BQK458830 BGM458731:BGO458830 AWQ458731:AWS458830 AMU458731:AMW458830 ACY458731:ADA458830 TC458731:TE458830 JG458731:JI458830 K458731:M458830 WVS393195:WVU393294 WLW393195:WLY393294 WCA393195:WCC393294 VSE393195:VSG393294 VII393195:VIK393294 UYM393195:UYO393294 UOQ393195:UOS393294 UEU393195:UEW393294 TUY393195:TVA393294 TLC393195:TLE393294 TBG393195:TBI393294 SRK393195:SRM393294 SHO393195:SHQ393294 RXS393195:RXU393294 RNW393195:RNY393294 REA393195:REC393294 QUE393195:QUG393294 QKI393195:QKK393294 QAM393195:QAO393294 PQQ393195:PQS393294 PGU393195:PGW393294 OWY393195:OXA393294 ONC393195:ONE393294 ODG393195:ODI393294 NTK393195:NTM393294 NJO393195:NJQ393294 MZS393195:MZU393294 MPW393195:MPY393294 MGA393195:MGC393294 LWE393195:LWG393294 LMI393195:LMK393294 LCM393195:LCO393294 KSQ393195:KSS393294 KIU393195:KIW393294 JYY393195:JZA393294 JPC393195:JPE393294 JFG393195:JFI393294 IVK393195:IVM393294 ILO393195:ILQ393294 IBS393195:IBU393294 HRW393195:HRY393294 HIA393195:HIC393294 GYE393195:GYG393294 GOI393195:GOK393294 GEM393195:GEO393294 FUQ393195:FUS393294 FKU393195:FKW393294 FAY393195:FBA393294 ERC393195:ERE393294 EHG393195:EHI393294 DXK393195:DXM393294 DNO393195:DNQ393294 DDS393195:DDU393294 CTW393195:CTY393294 CKA393195:CKC393294 CAE393195:CAG393294 BQI393195:BQK393294 BGM393195:BGO393294 AWQ393195:AWS393294 AMU393195:AMW393294 ACY393195:ADA393294 TC393195:TE393294 JG393195:JI393294 K393195:M393294 WVS327659:WVU327758 WLW327659:WLY327758 WCA327659:WCC327758 VSE327659:VSG327758 VII327659:VIK327758 UYM327659:UYO327758 UOQ327659:UOS327758 UEU327659:UEW327758 TUY327659:TVA327758 TLC327659:TLE327758 TBG327659:TBI327758 SRK327659:SRM327758 SHO327659:SHQ327758 RXS327659:RXU327758 RNW327659:RNY327758 REA327659:REC327758 QUE327659:QUG327758 QKI327659:QKK327758 QAM327659:QAO327758 PQQ327659:PQS327758 PGU327659:PGW327758 OWY327659:OXA327758 ONC327659:ONE327758 ODG327659:ODI327758 NTK327659:NTM327758 NJO327659:NJQ327758 MZS327659:MZU327758 MPW327659:MPY327758 MGA327659:MGC327758 LWE327659:LWG327758 LMI327659:LMK327758 LCM327659:LCO327758 KSQ327659:KSS327758 KIU327659:KIW327758 JYY327659:JZA327758 JPC327659:JPE327758 JFG327659:JFI327758 IVK327659:IVM327758 ILO327659:ILQ327758 IBS327659:IBU327758 HRW327659:HRY327758 HIA327659:HIC327758 GYE327659:GYG327758 GOI327659:GOK327758 GEM327659:GEO327758 FUQ327659:FUS327758 FKU327659:FKW327758 FAY327659:FBA327758 ERC327659:ERE327758 EHG327659:EHI327758 DXK327659:DXM327758 DNO327659:DNQ327758 DDS327659:DDU327758 CTW327659:CTY327758 CKA327659:CKC327758 CAE327659:CAG327758 BQI327659:BQK327758 BGM327659:BGO327758 AWQ327659:AWS327758 AMU327659:AMW327758 ACY327659:ADA327758 TC327659:TE327758 JG327659:JI327758 K327659:M327758 WVS262123:WVU262222 WLW262123:WLY262222 WCA262123:WCC262222 VSE262123:VSG262222 VII262123:VIK262222 UYM262123:UYO262222 UOQ262123:UOS262222 UEU262123:UEW262222 TUY262123:TVA262222 TLC262123:TLE262222 TBG262123:TBI262222 SRK262123:SRM262222 SHO262123:SHQ262222 RXS262123:RXU262222 RNW262123:RNY262222 REA262123:REC262222 QUE262123:QUG262222 QKI262123:QKK262222 QAM262123:QAO262222 PQQ262123:PQS262222 PGU262123:PGW262222 OWY262123:OXA262222 ONC262123:ONE262222 ODG262123:ODI262222 NTK262123:NTM262222 NJO262123:NJQ262222 MZS262123:MZU262222 MPW262123:MPY262222 MGA262123:MGC262222 LWE262123:LWG262222 LMI262123:LMK262222 LCM262123:LCO262222 KSQ262123:KSS262222 KIU262123:KIW262222 JYY262123:JZA262222 JPC262123:JPE262222 JFG262123:JFI262222 IVK262123:IVM262222 ILO262123:ILQ262222 IBS262123:IBU262222 HRW262123:HRY262222 HIA262123:HIC262222 GYE262123:GYG262222 GOI262123:GOK262222 GEM262123:GEO262222 FUQ262123:FUS262222 FKU262123:FKW262222 FAY262123:FBA262222 ERC262123:ERE262222 EHG262123:EHI262222 DXK262123:DXM262222 DNO262123:DNQ262222 DDS262123:DDU262222 CTW262123:CTY262222 CKA262123:CKC262222 CAE262123:CAG262222 BQI262123:BQK262222 BGM262123:BGO262222 AWQ262123:AWS262222 AMU262123:AMW262222 ACY262123:ADA262222 TC262123:TE262222 JG262123:JI262222 K262123:M262222 WVS196587:WVU196686 WLW196587:WLY196686 WCA196587:WCC196686 VSE196587:VSG196686 VII196587:VIK196686 UYM196587:UYO196686 UOQ196587:UOS196686 UEU196587:UEW196686 TUY196587:TVA196686 TLC196587:TLE196686 TBG196587:TBI196686 SRK196587:SRM196686 SHO196587:SHQ196686 RXS196587:RXU196686 RNW196587:RNY196686 REA196587:REC196686 QUE196587:QUG196686 QKI196587:QKK196686 QAM196587:QAO196686 PQQ196587:PQS196686 PGU196587:PGW196686 OWY196587:OXA196686 ONC196587:ONE196686 ODG196587:ODI196686 NTK196587:NTM196686 NJO196587:NJQ196686 MZS196587:MZU196686 MPW196587:MPY196686 MGA196587:MGC196686 LWE196587:LWG196686 LMI196587:LMK196686 LCM196587:LCO196686 KSQ196587:KSS196686 KIU196587:KIW196686 JYY196587:JZA196686 JPC196587:JPE196686 JFG196587:JFI196686 IVK196587:IVM196686 ILO196587:ILQ196686 IBS196587:IBU196686 HRW196587:HRY196686 HIA196587:HIC196686 GYE196587:GYG196686 GOI196587:GOK196686 GEM196587:GEO196686 FUQ196587:FUS196686 FKU196587:FKW196686 FAY196587:FBA196686 ERC196587:ERE196686 EHG196587:EHI196686 DXK196587:DXM196686 DNO196587:DNQ196686 DDS196587:DDU196686 CTW196587:CTY196686 CKA196587:CKC196686 CAE196587:CAG196686 BQI196587:BQK196686 BGM196587:BGO196686 AWQ196587:AWS196686 AMU196587:AMW196686 ACY196587:ADA196686 TC196587:TE196686 JG196587:JI196686 K196587:M196686 WVS131051:WVU131150 WLW131051:WLY131150 WCA131051:WCC131150 VSE131051:VSG131150 VII131051:VIK131150 UYM131051:UYO131150 UOQ131051:UOS131150 UEU131051:UEW131150 TUY131051:TVA131150 TLC131051:TLE131150 TBG131051:TBI131150 SRK131051:SRM131150 SHO131051:SHQ131150 RXS131051:RXU131150 RNW131051:RNY131150 REA131051:REC131150 QUE131051:QUG131150 QKI131051:QKK131150 QAM131051:QAO131150 PQQ131051:PQS131150 PGU131051:PGW131150 OWY131051:OXA131150 ONC131051:ONE131150 ODG131051:ODI131150 NTK131051:NTM131150 NJO131051:NJQ131150 MZS131051:MZU131150 MPW131051:MPY131150 MGA131051:MGC131150 LWE131051:LWG131150 LMI131051:LMK131150 LCM131051:LCO131150 KSQ131051:KSS131150 KIU131051:KIW131150 JYY131051:JZA131150 JPC131051:JPE131150 JFG131051:JFI131150 IVK131051:IVM131150 ILO131051:ILQ131150 IBS131051:IBU131150 HRW131051:HRY131150 HIA131051:HIC131150 GYE131051:GYG131150 GOI131051:GOK131150 GEM131051:GEO131150 FUQ131051:FUS131150 FKU131051:FKW131150 FAY131051:FBA131150 ERC131051:ERE131150 EHG131051:EHI131150 DXK131051:DXM131150 DNO131051:DNQ131150 DDS131051:DDU131150 CTW131051:CTY131150 CKA131051:CKC131150 CAE131051:CAG131150 BQI131051:BQK131150 BGM131051:BGO131150 AWQ131051:AWS131150 AMU131051:AMW131150 ACY131051:ADA131150 TC131051:TE131150 JG131051:JI131150 K131051:M131150 WVS65515:WVU65614 WLW65515:WLY65614 WCA65515:WCC65614 VSE65515:VSG65614 VII65515:VIK65614 UYM65515:UYO65614 UOQ65515:UOS65614 UEU65515:UEW65614 TUY65515:TVA65614 TLC65515:TLE65614 TBG65515:TBI65614 SRK65515:SRM65614 SHO65515:SHQ65614 RXS65515:RXU65614 RNW65515:RNY65614 REA65515:REC65614 QUE65515:QUG65614 QKI65515:QKK65614 QAM65515:QAO65614 PQQ65515:PQS65614 PGU65515:PGW65614 OWY65515:OXA65614 ONC65515:ONE65614 ODG65515:ODI65614 NTK65515:NTM65614 NJO65515:NJQ65614 MZS65515:MZU65614 MPW65515:MPY65614 MGA65515:MGC65614 LWE65515:LWG65614 LMI65515:LMK65614 LCM65515:LCO65614 KSQ65515:KSS65614 KIU65515:KIW65614 JYY65515:JZA65614 JPC65515:JPE65614 JFG65515:JFI65614 IVK65515:IVM65614 ILO65515:ILQ65614 IBS65515:IBU65614 HRW65515:HRY65614 HIA65515:HIC65614 GYE65515:GYG65614 GOI65515:GOK65614 GEM65515:GEO65614 FUQ65515:FUS65614 FKU65515:FKW65614 FAY65515:FBA65614 ERC65515:ERE65614 EHG65515:EHI65614 DXK65515:DXM65614 DNO65515:DNQ65614 DDS65515:DDU65614 CTW65515:CTY65614 CKA65515:CKC65614 CAE65515:CAG65614 BQI65515:BQK65614 BGM65515:BGO65614 AWQ65515:AWS65614 AMU65515:AMW65614 ACY65515:ADA65614 TC65515:TE65614 JG65515:JI65614 K65515:M65614" xr:uid="{2A574DA2-8BFC-4310-9330-670244D50844}">
      <formula1>$Z$3:$Z$11</formula1>
    </dataValidation>
    <dataValidation type="decimal" allowBlank="1" showInputMessage="1" showErrorMessage="1" sqref="WVW983019:WVW983118 O65515:O65614 JK65515:JK65614 TG65515:TG65614 ADC65515:ADC65614 AMY65515:AMY65614 AWU65515:AWU65614 BGQ65515:BGQ65614 BQM65515:BQM65614 CAI65515:CAI65614 CKE65515:CKE65614 CUA65515:CUA65614 DDW65515:DDW65614 DNS65515:DNS65614 DXO65515:DXO65614 EHK65515:EHK65614 ERG65515:ERG65614 FBC65515:FBC65614 FKY65515:FKY65614 FUU65515:FUU65614 GEQ65515:GEQ65614 GOM65515:GOM65614 GYI65515:GYI65614 HIE65515:HIE65614 HSA65515:HSA65614 IBW65515:IBW65614 ILS65515:ILS65614 IVO65515:IVO65614 JFK65515:JFK65614 JPG65515:JPG65614 JZC65515:JZC65614 KIY65515:KIY65614 KSU65515:KSU65614 LCQ65515:LCQ65614 LMM65515:LMM65614 LWI65515:LWI65614 MGE65515:MGE65614 MQA65515:MQA65614 MZW65515:MZW65614 NJS65515:NJS65614 NTO65515:NTO65614 ODK65515:ODK65614 ONG65515:ONG65614 OXC65515:OXC65614 PGY65515:PGY65614 PQU65515:PQU65614 QAQ65515:QAQ65614 QKM65515:QKM65614 QUI65515:QUI65614 REE65515:REE65614 ROA65515:ROA65614 RXW65515:RXW65614 SHS65515:SHS65614 SRO65515:SRO65614 TBK65515:TBK65614 TLG65515:TLG65614 TVC65515:TVC65614 UEY65515:UEY65614 UOU65515:UOU65614 UYQ65515:UYQ65614 VIM65515:VIM65614 VSI65515:VSI65614 WCE65515:WCE65614 WMA65515:WMA65614 WVW65515:WVW65614 O131051:O131150 JK131051:JK131150 TG131051:TG131150 ADC131051:ADC131150 AMY131051:AMY131150 AWU131051:AWU131150 BGQ131051:BGQ131150 BQM131051:BQM131150 CAI131051:CAI131150 CKE131051:CKE131150 CUA131051:CUA131150 DDW131051:DDW131150 DNS131051:DNS131150 DXO131051:DXO131150 EHK131051:EHK131150 ERG131051:ERG131150 FBC131051:FBC131150 FKY131051:FKY131150 FUU131051:FUU131150 GEQ131051:GEQ131150 GOM131051:GOM131150 GYI131051:GYI131150 HIE131051:HIE131150 HSA131051:HSA131150 IBW131051:IBW131150 ILS131051:ILS131150 IVO131051:IVO131150 JFK131051:JFK131150 JPG131051:JPG131150 JZC131051:JZC131150 KIY131051:KIY131150 KSU131051:KSU131150 LCQ131051:LCQ131150 LMM131051:LMM131150 LWI131051:LWI131150 MGE131051:MGE131150 MQA131051:MQA131150 MZW131051:MZW131150 NJS131051:NJS131150 NTO131051:NTO131150 ODK131051:ODK131150 ONG131051:ONG131150 OXC131051:OXC131150 PGY131051:PGY131150 PQU131051:PQU131150 QAQ131051:QAQ131150 QKM131051:QKM131150 QUI131051:QUI131150 REE131051:REE131150 ROA131051:ROA131150 RXW131051:RXW131150 SHS131051:SHS131150 SRO131051:SRO131150 TBK131051:TBK131150 TLG131051:TLG131150 TVC131051:TVC131150 UEY131051:UEY131150 UOU131051:UOU131150 UYQ131051:UYQ131150 VIM131051:VIM131150 VSI131051:VSI131150 WCE131051:WCE131150 WMA131051:WMA131150 WVW131051:WVW131150 O196587:O196686 JK196587:JK196686 TG196587:TG196686 ADC196587:ADC196686 AMY196587:AMY196686 AWU196587:AWU196686 BGQ196587:BGQ196686 BQM196587:BQM196686 CAI196587:CAI196686 CKE196587:CKE196686 CUA196587:CUA196686 DDW196587:DDW196686 DNS196587:DNS196686 DXO196587:DXO196686 EHK196587:EHK196686 ERG196587:ERG196686 FBC196587:FBC196686 FKY196587:FKY196686 FUU196587:FUU196686 GEQ196587:GEQ196686 GOM196587:GOM196686 GYI196587:GYI196686 HIE196587:HIE196686 HSA196587:HSA196686 IBW196587:IBW196686 ILS196587:ILS196686 IVO196587:IVO196686 JFK196587:JFK196686 JPG196587:JPG196686 JZC196587:JZC196686 KIY196587:KIY196686 KSU196587:KSU196686 LCQ196587:LCQ196686 LMM196587:LMM196686 LWI196587:LWI196686 MGE196587:MGE196686 MQA196587:MQA196686 MZW196587:MZW196686 NJS196587:NJS196686 NTO196587:NTO196686 ODK196587:ODK196686 ONG196587:ONG196686 OXC196587:OXC196686 PGY196587:PGY196686 PQU196587:PQU196686 QAQ196587:QAQ196686 QKM196587:QKM196686 QUI196587:QUI196686 REE196587:REE196686 ROA196587:ROA196686 RXW196587:RXW196686 SHS196587:SHS196686 SRO196587:SRO196686 TBK196587:TBK196686 TLG196587:TLG196686 TVC196587:TVC196686 UEY196587:UEY196686 UOU196587:UOU196686 UYQ196587:UYQ196686 VIM196587:VIM196686 VSI196587:VSI196686 WCE196587:WCE196686 WMA196587:WMA196686 WVW196587:WVW196686 O262123:O262222 JK262123:JK262222 TG262123:TG262222 ADC262123:ADC262222 AMY262123:AMY262222 AWU262123:AWU262222 BGQ262123:BGQ262222 BQM262123:BQM262222 CAI262123:CAI262222 CKE262123:CKE262222 CUA262123:CUA262222 DDW262123:DDW262222 DNS262123:DNS262222 DXO262123:DXO262222 EHK262123:EHK262222 ERG262123:ERG262222 FBC262123:FBC262222 FKY262123:FKY262222 FUU262123:FUU262222 GEQ262123:GEQ262222 GOM262123:GOM262222 GYI262123:GYI262222 HIE262123:HIE262222 HSA262123:HSA262222 IBW262123:IBW262222 ILS262123:ILS262222 IVO262123:IVO262222 JFK262123:JFK262222 JPG262123:JPG262222 JZC262123:JZC262222 KIY262123:KIY262222 KSU262123:KSU262222 LCQ262123:LCQ262222 LMM262123:LMM262222 LWI262123:LWI262222 MGE262123:MGE262222 MQA262123:MQA262222 MZW262123:MZW262222 NJS262123:NJS262222 NTO262123:NTO262222 ODK262123:ODK262222 ONG262123:ONG262222 OXC262123:OXC262222 PGY262123:PGY262222 PQU262123:PQU262222 QAQ262123:QAQ262222 QKM262123:QKM262222 QUI262123:QUI262222 REE262123:REE262222 ROA262123:ROA262222 RXW262123:RXW262222 SHS262123:SHS262222 SRO262123:SRO262222 TBK262123:TBK262222 TLG262123:TLG262222 TVC262123:TVC262222 UEY262123:UEY262222 UOU262123:UOU262222 UYQ262123:UYQ262222 VIM262123:VIM262222 VSI262123:VSI262222 WCE262123:WCE262222 WMA262123:WMA262222 WVW262123:WVW262222 O327659:O327758 JK327659:JK327758 TG327659:TG327758 ADC327659:ADC327758 AMY327659:AMY327758 AWU327659:AWU327758 BGQ327659:BGQ327758 BQM327659:BQM327758 CAI327659:CAI327758 CKE327659:CKE327758 CUA327659:CUA327758 DDW327659:DDW327758 DNS327659:DNS327758 DXO327659:DXO327758 EHK327659:EHK327758 ERG327659:ERG327758 FBC327659:FBC327758 FKY327659:FKY327758 FUU327659:FUU327758 GEQ327659:GEQ327758 GOM327659:GOM327758 GYI327659:GYI327758 HIE327659:HIE327758 HSA327659:HSA327758 IBW327659:IBW327758 ILS327659:ILS327758 IVO327659:IVO327758 JFK327659:JFK327758 JPG327659:JPG327758 JZC327659:JZC327758 KIY327659:KIY327758 KSU327659:KSU327758 LCQ327659:LCQ327758 LMM327659:LMM327758 LWI327659:LWI327758 MGE327659:MGE327758 MQA327659:MQA327758 MZW327659:MZW327758 NJS327659:NJS327758 NTO327659:NTO327758 ODK327659:ODK327758 ONG327659:ONG327758 OXC327659:OXC327758 PGY327659:PGY327758 PQU327659:PQU327758 QAQ327659:QAQ327758 QKM327659:QKM327758 QUI327659:QUI327758 REE327659:REE327758 ROA327659:ROA327758 RXW327659:RXW327758 SHS327659:SHS327758 SRO327659:SRO327758 TBK327659:TBK327758 TLG327659:TLG327758 TVC327659:TVC327758 UEY327659:UEY327758 UOU327659:UOU327758 UYQ327659:UYQ327758 VIM327659:VIM327758 VSI327659:VSI327758 WCE327659:WCE327758 WMA327659:WMA327758 WVW327659:WVW327758 O393195:O393294 JK393195:JK393294 TG393195:TG393294 ADC393195:ADC393294 AMY393195:AMY393294 AWU393195:AWU393294 BGQ393195:BGQ393294 BQM393195:BQM393294 CAI393195:CAI393294 CKE393195:CKE393294 CUA393195:CUA393294 DDW393195:DDW393294 DNS393195:DNS393294 DXO393195:DXO393294 EHK393195:EHK393294 ERG393195:ERG393294 FBC393195:FBC393294 FKY393195:FKY393294 FUU393195:FUU393294 GEQ393195:GEQ393294 GOM393195:GOM393294 GYI393195:GYI393294 HIE393195:HIE393294 HSA393195:HSA393294 IBW393195:IBW393294 ILS393195:ILS393294 IVO393195:IVO393294 JFK393195:JFK393294 JPG393195:JPG393294 JZC393195:JZC393294 KIY393195:KIY393294 KSU393195:KSU393294 LCQ393195:LCQ393294 LMM393195:LMM393294 LWI393195:LWI393294 MGE393195:MGE393294 MQA393195:MQA393294 MZW393195:MZW393294 NJS393195:NJS393294 NTO393195:NTO393294 ODK393195:ODK393294 ONG393195:ONG393294 OXC393195:OXC393294 PGY393195:PGY393294 PQU393195:PQU393294 QAQ393195:QAQ393294 QKM393195:QKM393294 QUI393195:QUI393294 REE393195:REE393294 ROA393195:ROA393294 RXW393195:RXW393294 SHS393195:SHS393294 SRO393195:SRO393294 TBK393195:TBK393294 TLG393195:TLG393294 TVC393195:TVC393294 UEY393195:UEY393294 UOU393195:UOU393294 UYQ393195:UYQ393294 VIM393195:VIM393294 VSI393195:VSI393294 WCE393195:WCE393294 WMA393195:WMA393294 WVW393195:WVW393294 O458731:O458830 JK458731:JK458830 TG458731:TG458830 ADC458731:ADC458830 AMY458731:AMY458830 AWU458731:AWU458830 BGQ458731:BGQ458830 BQM458731:BQM458830 CAI458731:CAI458830 CKE458731:CKE458830 CUA458731:CUA458830 DDW458731:DDW458830 DNS458731:DNS458830 DXO458731:DXO458830 EHK458731:EHK458830 ERG458731:ERG458830 FBC458731:FBC458830 FKY458731:FKY458830 FUU458731:FUU458830 GEQ458731:GEQ458830 GOM458731:GOM458830 GYI458731:GYI458830 HIE458731:HIE458830 HSA458731:HSA458830 IBW458731:IBW458830 ILS458731:ILS458830 IVO458731:IVO458830 JFK458731:JFK458830 JPG458731:JPG458830 JZC458731:JZC458830 KIY458731:KIY458830 KSU458731:KSU458830 LCQ458731:LCQ458830 LMM458731:LMM458830 LWI458731:LWI458830 MGE458731:MGE458830 MQA458731:MQA458830 MZW458731:MZW458830 NJS458731:NJS458830 NTO458731:NTO458830 ODK458731:ODK458830 ONG458731:ONG458830 OXC458731:OXC458830 PGY458731:PGY458830 PQU458731:PQU458830 QAQ458731:QAQ458830 QKM458731:QKM458830 QUI458731:QUI458830 REE458731:REE458830 ROA458731:ROA458830 RXW458731:RXW458830 SHS458731:SHS458830 SRO458731:SRO458830 TBK458731:TBK458830 TLG458731:TLG458830 TVC458731:TVC458830 UEY458731:UEY458830 UOU458731:UOU458830 UYQ458731:UYQ458830 VIM458731:VIM458830 VSI458731:VSI458830 WCE458731:WCE458830 WMA458731:WMA458830 WVW458731:WVW458830 O524267:O524366 JK524267:JK524366 TG524267:TG524366 ADC524267:ADC524366 AMY524267:AMY524366 AWU524267:AWU524366 BGQ524267:BGQ524366 BQM524267:BQM524366 CAI524267:CAI524366 CKE524267:CKE524366 CUA524267:CUA524366 DDW524267:DDW524366 DNS524267:DNS524366 DXO524267:DXO524366 EHK524267:EHK524366 ERG524267:ERG524366 FBC524267:FBC524366 FKY524267:FKY524366 FUU524267:FUU524366 GEQ524267:GEQ524366 GOM524267:GOM524366 GYI524267:GYI524366 HIE524267:HIE524366 HSA524267:HSA524366 IBW524267:IBW524366 ILS524267:ILS524366 IVO524267:IVO524366 JFK524267:JFK524366 JPG524267:JPG524366 JZC524267:JZC524366 KIY524267:KIY524366 KSU524267:KSU524366 LCQ524267:LCQ524366 LMM524267:LMM524366 LWI524267:LWI524366 MGE524267:MGE524366 MQA524267:MQA524366 MZW524267:MZW524366 NJS524267:NJS524366 NTO524267:NTO524366 ODK524267:ODK524366 ONG524267:ONG524366 OXC524267:OXC524366 PGY524267:PGY524366 PQU524267:PQU524366 QAQ524267:QAQ524366 QKM524267:QKM524366 QUI524267:QUI524366 REE524267:REE524366 ROA524267:ROA524366 RXW524267:RXW524366 SHS524267:SHS524366 SRO524267:SRO524366 TBK524267:TBK524366 TLG524267:TLG524366 TVC524267:TVC524366 UEY524267:UEY524366 UOU524267:UOU524366 UYQ524267:UYQ524366 VIM524267:VIM524366 VSI524267:VSI524366 WCE524267:WCE524366 WMA524267:WMA524366 WVW524267:WVW524366 O589803:O589902 JK589803:JK589902 TG589803:TG589902 ADC589803:ADC589902 AMY589803:AMY589902 AWU589803:AWU589902 BGQ589803:BGQ589902 BQM589803:BQM589902 CAI589803:CAI589902 CKE589803:CKE589902 CUA589803:CUA589902 DDW589803:DDW589902 DNS589803:DNS589902 DXO589803:DXO589902 EHK589803:EHK589902 ERG589803:ERG589902 FBC589803:FBC589902 FKY589803:FKY589902 FUU589803:FUU589902 GEQ589803:GEQ589902 GOM589803:GOM589902 GYI589803:GYI589902 HIE589803:HIE589902 HSA589803:HSA589902 IBW589803:IBW589902 ILS589803:ILS589902 IVO589803:IVO589902 JFK589803:JFK589902 JPG589803:JPG589902 JZC589803:JZC589902 KIY589803:KIY589902 KSU589803:KSU589902 LCQ589803:LCQ589902 LMM589803:LMM589902 LWI589803:LWI589902 MGE589803:MGE589902 MQA589803:MQA589902 MZW589803:MZW589902 NJS589803:NJS589902 NTO589803:NTO589902 ODK589803:ODK589902 ONG589803:ONG589902 OXC589803:OXC589902 PGY589803:PGY589902 PQU589803:PQU589902 QAQ589803:QAQ589902 QKM589803:QKM589902 QUI589803:QUI589902 REE589803:REE589902 ROA589803:ROA589902 RXW589803:RXW589902 SHS589803:SHS589902 SRO589803:SRO589902 TBK589803:TBK589902 TLG589803:TLG589902 TVC589803:TVC589902 UEY589803:UEY589902 UOU589803:UOU589902 UYQ589803:UYQ589902 VIM589803:VIM589902 VSI589803:VSI589902 WCE589803:WCE589902 WMA589803:WMA589902 WVW589803:WVW589902 O655339:O655438 JK655339:JK655438 TG655339:TG655438 ADC655339:ADC655438 AMY655339:AMY655438 AWU655339:AWU655438 BGQ655339:BGQ655438 BQM655339:BQM655438 CAI655339:CAI655438 CKE655339:CKE655438 CUA655339:CUA655438 DDW655339:DDW655438 DNS655339:DNS655438 DXO655339:DXO655438 EHK655339:EHK655438 ERG655339:ERG655438 FBC655339:FBC655438 FKY655339:FKY655438 FUU655339:FUU655438 GEQ655339:GEQ655438 GOM655339:GOM655438 GYI655339:GYI655438 HIE655339:HIE655438 HSA655339:HSA655438 IBW655339:IBW655438 ILS655339:ILS655438 IVO655339:IVO655438 JFK655339:JFK655438 JPG655339:JPG655438 JZC655339:JZC655438 KIY655339:KIY655438 KSU655339:KSU655438 LCQ655339:LCQ655438 LMM655339:LMM655438 LWI655339:LWI655438 MGE655339:MGE655438 MQA655339:MQA655438 MZW655339:MZW655438 NJS655339:NJS655438 NTO655339:NTO655438 ODK655339:ODK655438 ONG655339:ONG655438 OXC655339:OXC655438 PGY655339:PGY655438 PQU655339:PQU655438 QAQ655339:QAQ655438 QKM655339:QKM655438 QUI655339:QUI655438 REE655339:REE655438 ROA655339:ROA655438 RXW655339:RXW655438 SHS655339:SHS655438 SRO655339:SRO655438 TBK655339:TBK655438 TLG655339:TLG655438 TVC655339:TVC655438 UEY655339:UEY655438 UOU655339:UOU655438 UYQ655339:UYQ655438 VIM655339:VIM655438 VSI655339:VSI655438 WCE655339:WCE655438 WMA655339:WMA655438 WVW655339:WVW655438 O720875:O720974 JK720875:JK720974 TG720875:TG720974 ADC720875:ADC720974 AMY720875:AMY720974 AWU720875:AWU720974 BGQ720875:BGQ720974 BQM720875:BQM720974 CAI720875:CAI720974 CKE720875:CKE720974 CUA720875:CUA720974 DDW720875:DDW720974 DNS720875:DNS720974 DXO720875:DXO720974 EHK720875:EHK720974 ERG720875:ERG720974 FBC720875:FBC720974 FKY720875:FKY720974 FUU720875:FUU720974 GEQ720875:GEQ720974 GOM720875:GOM720974 GYI720875:GYI720974 HIE720875:HIE720974 HSA720875:HSA720974 IBW720875:IBW720974 ILS720875:ILS720974 IVO720875:IVO720974 JFK720875:JFK720974 JPG720875:JPG720974 JZC720875:JZC720974 KIY720875:KIY720974 KSU720875:KSU720974 LCQ720875:LCQ720974 LMM720875:LMM720974 LWI720875:LWI720974 MGE720875:MGE720974 MQA720875:MQA720974 MZW720875:MZW720974 NJS720875:NJS720974 NTO720875:NTO720974 ODK720875:ODK720974 ONG720875:ONG720974 OXC720875:OXC720974 PGY720875:PGY720974 PQU720875:PQU720974 QAQ720875:QAQ720974 QKM720875:QKM720974 QUI720875:QUI720974 REE720875:REE720974 ROA720875:ROA720974 RXW720875:RXW720974 SHS720875:SHS720974 SRO720875:SRO720974 TBK720875:TBK720974 TLG720875:TLG720974 TVC720875:TVC720974 UEY720875:UEY720974 UOU720875:UOU720974 UYQ720875:UYQ720974 VIM720875:VIM720974 VSI720875:VSI720974 WCE720875:WCE720974 WMA720875:WMA720974 WVW720875:WVW720974 O786411:O786510 JK786411:JK786510 TG786411:TG786510 ADC786411:ADC786510 AMY786411:AMY786510 AWU786411:AWU786510 BGQ786411:BGQ786510 BQM786411:BQM786510 CAI786411:CAI786510 CKE786411:CKE786510 CUA786411:CUA786510 DDW786411:DDW786510 DNS786411:DNS786510 DXO786411:DXO786510 EHK786411:EHK786510 ERG786411:ERG786510 FBC786411:FBC786510 FKY786411:FKY786510 FUU786411:FUU786510 GEQ786411:GEQ786510 GOM786411:GOM786510 GYI786411:GYI786510 HIE786411:HIE786510 HSA786411:HSA786510 IBW786411:IBW786510 ILS786411:ILS786510 IVO786411:IVO786510 JFK786411:JFK786510 JPG786411:JPG786510 JZC786411:JZC786510 KIY786411:KIY786510 KSU786411:KSU786510 LCQ786411:LCQ786510 LMM786411:LMM786510 LWI786411:LWI786510 MGE786411:MGE786510 MQA786411:MQA786510 MZW786411:MZW786510 NJS786411:NJS786510 NTO786411:NTO786510 ODK786411:ODK786510 ONG786411:ONG786510 OXC786411:OXC786510 PGY786411:PGY786510 PQU786411:PQU786510 QAQ786411:QAQ786510 QKM786411:QKM786510 QUI786411:QUI786510 REE786411:REE786510 ROA786411:ROA786510 RXW786411:RXW786510 SHS786411:SHS786510 SRO786411:SRO786510 TBK786411:TBK786510 TLG786411:TLG786510 TVC786411:TVC786510 UEY786411:UEY786510 UOU786411:UOU786510 UYQ786411:UYQ786510 VIM786411:VIM786510 VSI786411:VSI786510 WCE786411:WCE786510 WMA786411:WMA786510 WVW786411:WVW786510 O851947:O852046 JK851947:JK852046 TG851947:TG852046 ADC851947:ADC852046 AMY851947:AMY852046 AWU851947:AWU852046 BGQ851947:BGQ852046 BQM851947:BQM852046 CAI851947:CAI852046 CKE851947:CKE852046 CUA851947:CUA852046 DDW851947:DDW852046 DNS851947:DNS852046 DXO851947:DXO852046 EHK851947:EHK852046 ERG851947:ERG852046 FBC851947:FBC852046 FKY851947:FKY852046 FUU851947:FUU852046 GEQ851947:GEQ852046 GOM851947:GOM852046 GYI851947:GYI852046 HIE851947:HIE852046 HSA851947:HSA852046 IBW851947:IBW852046 ILS851947:ILS852046 IVO851947:IVO852046 JFK851947:JFK852046 JPG851947:JPG852046 JZC851947:JZC852046 KIY851947:KIY852046 KSU851947:KSU852046 LCQ851947:LCQ852046 LMM851947:LMM852046 LWI851947:LWI852046 MGE851947:MGE852046 MQA851947:MQA852046 MZW851947:MZW852046 NJS851947:NJS852046 NTO851947:NTO852046 ODK851947:ODK852046 ONG851947:ONG852046 OXC851947:OXC852046 PGY851947:PGY852046 PQU851947:PQU852046 QAQ851947:QAQ852046 QKM851947:QKM852046 QUI851947:QUI852046 REE851947:REE852046 ROA851947:ROA852046 RXW851947:RXW852046 SHS851947:SHS852046 SRO851947:SRO852046 TBK851947:TBK852046 TLG851947:TLG852046 TVC851947:TVC852046 UEY851947:UEY852046 UOU851947:UOU852046 UYQ851947:UYQ852046 VIM851947:VIM852046 VSI851947:VSI852046 WCE851947:WCE852046 WMA851947:WMA852046 WVW851947:WVW852046 O917483:O917582 JK917483:JK917582 TG917483:TG917582 ADC917483:ADC917582 AMY917483:AMY917582 AWU917483:AWU917582 BGQ917483:BGQ917582 BQM917483:BQM917582 CAI917483:CAI917582 CKE917483:CKE917582 CUA917483:CUA917582 DDW917483:DDW917582 DNS917483:DNS917582 DXO917483:DXO917582 EHK917483:EHK917582 ERG917483:ERG917582 FBC917483:FBC917582 FKY917483:FKY917582 FUU917483:FUU917582 GEQ917483:GEQ917582 GOM917483:GOM917582 GYI917483:GYI917582 HIE917483:HIE917582 HSA917483:HSA917582 IBW917483:IBW917582 ILS917483:ILS917582 IVO917483:IVO917582 JFK917483:JFK917582 JPG917483:JPG917582 JZC917483:JZC917582 KIY917483:KIY917582 KSU917483:KSU917582 LCQ917483:LCQ917582 LMM917483:LMM917582 LWI917483:LWI917582 MGE917483:MGE917582 MQA917483:MQA917582 MZW917483:MZW917582 NJS917483:NJS917582 NTO917483:NTO917582 ODK917483:ODK917582 ONG917483:ONG917582 OXC917483:OXC917582 PGY917483:PGY917582 PQU917483:PQU917582 QAQ917483:QAQ917582 QKM917483:QKM917582 QUI917483:QUI917582 REE917483:REE917582 ROA917483:ROA917582 RXW917483:RXW917582 SHS917483:SHS917582 SRO917483:SRO917582 TBK917483:TBK917582 TLG917483:TLG917582 TVC917483:TVC917582 UEY917483:UEY917582 UOU917483:UOU917582 UYQ917483:UYQ917582 VIM917483:VIM917582 VSI917483:VSI917582 WCE917483:WCE917582 WMA917483:WMA917582 WVW917483:WVW917582 O983019:O983118 JK983019:JK983118 TG983019:TG983118 ADC983019:ADC983118 AMY983019:AMY983118 AWU983019:AWU983118 BGQ983019:BGQ983118 BQM983019:BQM983118 CAI983019:CAI983118 CKE983019:CKE983118 CUA983019:CUA983118 DDW983019:DDW983118 DNS983019:DNS983118 DXO983019:DXO983118 EHK983019:EHK983118 ERG983019:ERG983118 FBC983019:FBC983118 FKY983019:FKY983118 FUU983019:FUU983118 GEQ983019:GEQ983118 GOM983019:GOM983118 GYI983019:GYI983118 HIE983019:HIE983118 HSA983019:HSA983118 IBW983019:IBW983118 ILS983019:ILS983118 IVO983019:IVO983118 JFK983019:JFK983118 JPG983019:JPG983118 JZC983019:JZC983118 KIY983019:KIY983118 KSU983019:KSU983118 LCQ983019:LCQ983118 LMM983019:LMM983118 LWI983019:LWI983118 MGE983019:MGE983118 MQA983019:MQA983118 MZW983019:MZW983118 NJS983019:NJS983118 NTO983019:NTO983118 ODK983019:ODK983118 ONG983019:ONG983118 OXC983019:OXC983118 PGY983019:PGY983118 PQU983019:PQU983118 QAQ983019:QAQ983118 QKM983019:QKM983118 QUI983019:QUI983118 REE983019:REE983118 ROA983019:ROA983118 RXW983019:RXW983118 SHS983019:SHS983118 SRO983019:SRO983118 TBK983019:TBK983118 TLG983019:TLG983118 TVC983019:TVC983118 UEY983019:UEY983118 UOU983019:UOU983118 UYQ983019:UYQ983118 VIM983019:VIM983118 VSI983019:VSI983118 WCE983019:WCE983118 WMA983019:WMA983118 O6:O39 WVW6:WVW78 WMA6:WMA78 WCE6:WCE78 VSI6:VSI78 VIM6:VIM78 UYQ6:UYQ78 UOU6:UOU78 UEY6:UEY78 TVC6:TVC78 TLG6:TLG78 TBK6:TBK78 SRO6:SRO78 SHS6:SHS78 RXW6:RXW78 ROA6:ROA78 REE6:REE78 QUI6:QUI78 QKM6:QKM78 QAQ6:QAQ78 PQU6:PQU78 PGY6:PGY78 OXC6:OXC78 ONG6:ONG78 ODK6:ODK78 NTO6:NTO78 NJS6:NJS78 MZW6:MZW78 MQA6:MQA78 MGE6:MGE78 LWI6:LWI78 LMM6:LMM78 LCQ6:LCQ78 KSU6:KSU78 KIY6:KIY78 JZC6:JZC78 JPG6:JPG78 JFK6:JFK78 IVO6:IVO78 ILS6:ILS78 IBW6:IBW78 HSA6:HSA78 HIE6:HIE78 GYI6:GYI78 GOM6:GOM78 GEQ6:GEQ78 FUU6:FUU78 FKY6:FKY78 FBC6:FBC78 ERG6:ERG78 EHK6:EHK78 DXO6:DXO78 DNS6:DNS78 DDW6:DDW78 CUA6:CUA78 CKE6:CKE78 CAI6:CAI78 BQM6:BQM78 BGQ6:BGQ78 AWU6:AWU78 AMY6:AMY78 ADC6:ADC78 TG6:TG78 JK6:JK78" xr:uid="{31509356-BFDC-42F2-8C3F-6C55583C6F84}">
      <formula1>0</formula1>
      <formula2>50</formula2>
    </dataValidation>
    <dataValidation type="list" allowBlank="1" showInputMessage="1" showErrorMessage="1" sqref="WVP983019:WVP983118 JD6:JD78 SZ6:SZ78 ACV6:ACV78 AMR6:AMR78 AWN6:AWN78 BGJ6:BGJ78 BQF6:BQF78 CAB6:CAB78 CJX6:CJX78 CTT6:CTT78 DDP6:DDP78 DNL6:DNL78 DXH6:DXH78 EHD6:EHD78 EQZ6:EQZ78 FAV6:FAV78 FKR6:FKR78 FUN6:FUN78 GEJ6:GEJ78 GOF6:GOF78 GYB6:GYB78 HHX6:HHX78 HRT6:HRT78 IBP6:IBP78 ILL6:ILL78 IVH6:IVH78 JFD6:JFD78 JOZ6:JOZ78 JYV6:JYV78 KIR6:KIR78 KSN6:KSN78 LCJ6:LCJ78 LMF6:LMF78 LWB6:LWB78 MFX6:MFX78 MPT6:MPT78 MZP6:MZP78 NJL6:NJL78 NTH6:NTH78 ODD6:ODD78 OMZ6:OMZ78 OWV6:OWV78 PGR6:PGR78 PQN6:PQN78 QAJ6:QAJ78 QKF6:QKF78 QUB6:QUB78 RDX6:RDX78 RNT6:RNT78 RXP6:RXP78 SHL6:SHL78 SRH6:SRH78 TBD6:TBD78 TKZ6:TKZ78 TUV6:TUV78 UER6:UER78 UON6:UON78 UYJ6:UYJ78 VIF6:VIF78 VSB6:VSB78 WBX6:WBX78 WLT6:WLT78 WVP6:WVP78 G6:H39 WLT983019:WLT983118 WBX983019:WBX983118 VSB983019:VSB983118 VIF983019:VIF983118 UYJ983019:UYJ983118 UON983019:UON983118 UER983019:UER983118 TUV983019:TUV983118 TKZ983019:TKZ983118 TBD983019:TBD983118 SRH983019:SRH983118 SHL983019:SHL983118 RXP983019:RXP983118 RNT983019:RNT983118 RDX983019:RDX983118 QUB983019:QUB983118 QKF983019:QKF983118 QAJ983019:QAJ983118 PQN983019:PQN983118 PGR983019:PGR983118 OWV983019:OWV983118 OMZ983019:OMZ983118 ODD983019:ODD983118 NTH983019:NTH983118 NJL983019:NJL983118 MZP983019:MZP983118 MPT983019:MPT983118 MFX983019:MFX983118 LWB983019:LWB983118 LMF983019:LMF983118 LCJ983019:LCJ983118 KSN983019:KSN983118 KIR983019:KIR983118 JYV983019:JYV983118 JOZ983019:JOZ983118 JFD983019:JFD983118 IVH983019:IVH983118 ILL983019:ILL983118 IBP983019:IBP983118 HRT983019:HRT983118 HHX983019:HHX983118 GYB983019:GYB983118 GOF983019:GOF983118 GEJ983019:GEJ983118 FUN983019:FUN983118 FKR983019:FKR983118 FAV983019:FAV983118 EQZ983019:EQZ983118 EHD983019:EHD983118 DXH983019:DXH983118 DNL983019:DNL983118 DDP983019:DDP983118 CTT983019:CTT983118 CJX983019:CJX983118 CAB983019:CAB983118 BQF983019:BQF983118 BGJ983019:BGJ983118 AWN983019:AWN983118 AMR983019:AMR983118 ACV983019:ACV983118 SZ983019:SZ983118 JD983019:JD983118 G983019:H983118 WVP917483:WVP917582 WLT917483:WLT917582 WBX917483:WBX917582 VSB917483:VSB917582 VIF917483:VIF917582 UYJ917483:UYJ917582 UON917483:UON917582 UER917483:UER917582 TUV917483:TUV917582 TKZ917483:TKZ917582 TBD917483:TBD917582 SRH917483:SRH917582 SHL917483:SHL917582 RXP917483:RXP917582 RNT917483:RNT917582 RDX917483:RDX917582 QUB917483:QUB917582 QKF917483:QKF917582 QAJ917483:QAJ917582 PQN917483:PQN917582 PGR917483:PGR917582 OWV917483:OWV917582 OMZ917483:OMZ917582 ODD917483:ODD917582 NTH917483:NTH917582 NJL917483:NJL917582 MZP917483:MZP917582 MPT917483:MPT917582 MFX917483:MFX917582 LWB917483:LWB917582 LMF917483:LMF917582 LCJ917483:LCJ917582 KSN917483:KSN917582 KIR917483:KIR917582 JYV917483:JYV917582 JOZ917483:JOZ917582 JFD917483:JFD917582 IVH917483:IVH917582 ILL917483:ILL917582 IBP917483:IBP917582 HRT917483:HRT917582 HHX917483:HHX917582 GYB917483:GYB917582 GOF917483:GOF917582 GEJ917483:GEJ917582 FUN917483:FUN917582 FKR917483:FKR917582 FAV917483:FAV917582 EQZ917483:EQZ917582 EHD917483:EHD917582 DXH917483:DXH917582 DNL917483:DNL917582 DDP917483:DDP917582 CTT917483:CTT917582 CJX917483:CJX917582 CAB917483:CAB917582 BQF917483:BQF917582 BGJ917483:BGJ917582 AWN917483:AWN917582 AMR917483:AMR917582 ACV917483:ACV917582 SZ917483:SZ917582 JD917483:JD917582 G917483:H917582 WVP851947:WVP852046 WLT851947:WLT852046 WBX851947:WBX852046 VSB851947:VSB852046 VIF851947:VIF852046 UYJ851947:UYJ852046 UON851947:UON852046 UER851947:UER852046 TUV851947:TUV852046 TKZ851947:TKZ852046 TBD851947:TBD852046 SRH851947:SRH852046 SHL851947:SHL852046 RXP851947:RXP852046 RNT851947:RNT852046 RDX851947:RDX852046 QUB851947:QUB852046 QKF851947:QKF852046 QAJ851947:QAJ852046 PQN851947:PQN852046 PGR851947:PGR852046 OWV851947:OWV852046 OMZ851947:OMZ852046 ODD851947:ODD852046 NTH851947:NTH852046 NJL851947:NJL852046 MZP851947:MZP852046 MPT851947:MPT852046 MFX851947:MFX852046 LWB851947:LWB852046 LMF851947:LMF852046 LCJ851947:LCJ852046 KSN851947:KSN852046 KIR851947:KIR852046 JYV851947:JYV852046 JOZ851947:JOZ852046 JFD851947:JFD852046 IVH851947:IVH852046 ILL851947:ILL852046 IBP851947:IBP852046 HRT851947:HRT852046 HHX851947:HHX852046 GYB851947:GYB852046 GOF851947:GOF852046 GEJ851947:GEJ852046 FUN851947:FUN852046 FKR851947:FKR852046 FAV851947:FAV852046 EQZ851947:EQZ852046 EHD851947:EHD852046 DXH851947:DXH852046 DNL851947:DNL852046 DDP851947:DDP852046 CTT851947:CTT852046 CJX851947:CJX852046 CAB851947:CAB852046 BQF851947:BQF852046 BGJ851947:BGJ852046 AWN851947:AWN852046 AMR851947:AMR852046 ACV851947:ACV852046 SZ851947:SZ852046 JD851947:JD852046 G851947:H852046 WVP786411:WVP786510 WLT786411:WLT786510 WBX786411:WBX786510 VSB786411:VSB786510 VIF786411:VIF786510 UYJ786411:UYJ786510 UON786411:UON786510 UER786411:UER786510 TUV786411:TUV786510 TKZ786411:TKZ786510 TBD786411:TBD786510 SRH786411:SRH786510 SHL786411:SHL786510 RXP786411:RXP786510 RNT786411:RNT786510 RDX786411:RDX786510 QUB786411:QUB786510 QKF786411:QKF786510 QAJ786411:QAJ786510 PQN786411:PQN786510 PGR786411:PGR786510 OWV786411:OWV786510 OMZ786411:OMZ786510 ODD786411:ODD786510 NTH786411:NTH786510 NJL786411:NJL786510 MZP786411:MZP786510 MPT786411:MPT786510 MFX786411:MFX786510 LWB786411:LWB786510 LMF786411:LMF786510 LCJ786411:LCJ786510 KSN786411:KSN786510 KIR786411:KIR786510 JYV786411:JYV786510 JOZ786411:JOZ786510 JFD786411:JFD786510 IVH786411:IVH786510 ILL786411:ILL786510 IBP786411:IBP786510 HRT786411:HRT786510 HHX786411:HHX786510 GYB786411:GYB786510 GOF786411:GOF786510 GEJ786411:GEJ786510 FUN786411:FUN786510 FKR786411:FKR786510 FAV786411:FAV786510 EQZ786411:EQZ786510 EHD786411:EHD786510 DXH786411:DXH786510 DNL786411:DNL786510 DDP786411:DDP786510 CTT786411:CTT786510 CJX786411:CJX786510 CAB786411:CAB786510 BQF786411:BQF786510 BGJ786411:BGJ786510 AWN786411:AWN786510 AMR786411:AMR786510 ACV786411:ACV786510 SZ786411:SZ786510 JD786411:JD786510 G786411:H786510 WVP720875:WVP720974 WLT720875:WLT720974 WBX720875:WBX720974 VSB720875:VSB720974 VIF720875:VIF720974 UYJ720875:UYJ720974 UON720875:UON720974 UER720875:UER720974 TUV720875:TUV720974 TKZ720875:TKZ720974 TBD720875:TBD720974 SRH720875:SRH720974 SHL720875:SHL720974 RXP720875:RXP720974 RNT720875:RNT720974 RDX720875:RDX720974 QUB720875:QUB720974 QKF720875:QKF720974 QAJ720875:QAJ720974 PQN720875:PQN720974 PGR720875:PGR720974 OWV720875:OWV720974 OMZ720875:OMZ720974 ODD720875:ODD720974 NTH720875:NTH720974 NJL720875:NJL720974 MZP720875:MZP720974 MPT720875:MPT720974 MFX720875:MFX720974 LWB720875:LWB720974 LMF720875:LMF720974 LCJ720875:LCJ720974 KSN720875:KSN720974 KIR720875:KIR720974 JYV720875:JYV720974 JOZ720875:JOZ720974 JFD720875:JFD720974 IVH720875:IVH720974 ILL720875:ILL720974 IBP720875:IBP720974 HRT720875:HRT720974 HHX720875:HHX720974 GYB720875:GYB720974 GOF720875:GOF720974 GEJ720875:GEJ720974 FUN720875:FUN720974 FKR720875:FKR720974 FAV720875:FAV720974 EQZ720875:EQZ720974 EHD720875:EHD720974 DXH720875:DXH720974 DNL720875:DNL720974 DDP720875:DDP720974 CTT720875:CTT720974 CJX720875:CJX720974 CAB720875:CAB720974 BQF720875:BQF720974 BGJ720875:BGJ720974 AWN720875:AWN720974 AMR720875:AMR720974 ACV720875:ACV720974 SZ720875:SZ720974 JD720875:JD720974 G720875:H720974 WVP655339:WVP655438 WLT655339:WLT655438 WBX655339:WBX655438 VSB655339:VSB655438 VIF655339:VIF655438 UYJ655339:UYJ655438 UON655339:UON655438 UER655339:UER655438 TUV655339:TUV655438 TKZ655339:TKZ655438 TBD655339:TBD655438 SRH655339:SRH655438 SHL655339:SHL655438 RXP655339:RXP655438 RNT655339:RNT655438 RDX655339:RDX655438 QUB655339:QUB655438 QKF655339:QKF655438 QAJ655339:QAJ655438 PQN655339:PQN655438 PGR655339:PGR655438 OWV655339:OWV655438 OMZ655339:OMZ655438 ODD655339:ODD655438 NTH655339:NTH655438 NJL655339:NJL655438 MZP655339:MZP655438 MPT655339:MPT655438 MFX655339:MFX655438 LWB655339:LWB655438 LMF655339:LMF655438 LCJ655339:LCJ655438 KSN655339:KSN655438 KIR655339:KIR655438 JYV655339:JYV655438 JOZ655339:JOZ655438 JFD655339:JFD655438 IVH655339:IVH655438 ILL655339:ILL655438 IBP655339:IBP655438 HRT655339:HRT655438 HHX655339:HHX655438 GYB655339:GYB655438 GOF655339:GOF655438 GEJ655339:GEJ655438 FUN655339:FUN655438 FKR655339:FKR655438 FAV655339:FAV655438 EQZ655339:EQZ655438 EHD655339:EHD655438 DXH655339:DXH655438 DNL655339:DNL655438 DDP655339:DDP655438 CTT655339:CTT655438 CJX655339:CJX655438 CAB655339:CAB655438 BQF655339:BQF655438 BGJ655339:BGJ655438 AWN655339:AWN655438 AMR655339:AMR655438 ACV655339:ACV655438 SZ655339:SZ655438 JD655339:JD655438 G655339:H655438 WVP589803:WVP589902 WLT589803:WLT589902 WBX589803:WBX589902 VSB589803:VSB589902 VIF589803:VIF589902 UYJ589803:UYJ589902 UON589803:UON589902 UER589803:UER589902 TUV589803:TUV589902 TKZ589803:TKZ589902 TBD589803:TBD589902 SRH589803:SRH589902 SHL589803:SHL589902 RXP589803:RXP589902 RNT589803:RNT589902 RDX589803:RDX589902 QUB589803:QUB589902 QKF589803:QKF589902 QAJ589803:QAJ589902 PQN589803:PQN589902 PGR589803:PGR589902 OWV589803:OWV589902 OMZ589803:OMZ589902 ODD589803:ODD589902 NTH589803:NTH589902 NJL589803:NJL589902 MZP589803:MZP589902 MPT589803:MPT589902 MFX589803:MFX589902 LWB589803:LWB589902 LMF589803:LMF589902 LCJ589803:LCJ589902 KSN589803:KSN589902 KIR589803:KIR589902 JYV589803:JYV589902 JOZ589803:JOZ589902 JFD589803:JFD589902 IVH589803:IVH589902 ILL589803:ILL589902 IBP589803:IBP589902 HRT589803:HRT589902 HHX589803:HHX589902 GYB589803:GYB589902 GOF589803:GOF589902 GEJ589803:GEJ589902 FUN589803:FUN589902 FKR589803:FKR589902 FAV589803:FAV589902 EQZ589803:EQZ589902 EHD589803:EHD589902 DXH589803:DXH589902 DNL589803:DNL589902 DDP589803:DDP589902 CTT589803:CTT589902 CJX589803:CJX589902 CAB589803:CAB589902 BQF589803:BQF589902 BGJ589803:BGJ589902 AWN589803:AWN589902 AMR589803:AMR589902 ACV589803:ACV589902 SZ589803:SZ589902 JD589803:JD589902 G589803:H589902 WVP524267:WVP524366 WLT524267:WLT524366 WBX524267:WBX524366 VSB524267:VSB524366 VIF524267:VIF524366 UYJ524267:UYJ524366 UON524267:UON524366 UER524267:UER524366 TUV524267:TUV524366 TKZ524267:TKZ524366 TBD524267:TBD524366 SRH524267:SRH524366 SHL524267:SHL524366 RXP524267:RXP524366 RNT524267:RNT524366 RDX524267:RDX524366 QUB524267:QUB524366 QKF524267:QKF524366 QAJ524267:QAJ524366 PQN524267:PQN524366 PGR524267:PGR524366 OWV524267:OWV524366 OMZ524267:OMZ524366 ODD524267:ODD524366 NTH524267:NTH524366 NJL524267:NJL524366 MZP524267:MZP524366 MPT524267:MPT524366 MFX524267:MFX524366 LWB524267:LWB524366 LMF524267:LMF524366 LCJ524267:LCJ524366 KSN524267:KSN524366 KIR524267:KIR524366 JYV524267:JYV524366 JOZ524267:JOZ524366 JFD524267:JFD524366 IVH524267:IVH524366 ILL524267:ILL524366 IBP524267:IBP524366 HRT524267:HRT524366 HHX524267:HHX524366 GYB524267:GYB524366 GOF524267:GOF524366 GEJ524267:GEJ524366 FUN524267:FUN524366 FKR524267:FKR524366 FAV524267:FAV524366 EQZ524267:EQZ524366 EHD524267:EHD524366 DXH524267:DXH524366 DNL524267:DNL524366 DDP524267:DDP524366 CTT524267:CTT524366 CJX524267:CJX524366 CAB524267:CAB524366 BQF524267:BQF524366 BGJ524267:BGJ524366 AWN524267:AWN524366 AMR524267:AMR524366 ACV524267:ACV524366 SZ524267:SZ524366 JD524267:JD524366 G524267:H524366 WVP458731:WVP458830 WLT458731:WLT458830 WBX458731:WBX458830 VSB458731:VSB458830 VIF458731:VIF458830 UYJ458731:UYJ458830 UON458731:UON458830 UER458731:UER458830 TUV458731:TUV458830 TKZ458731:TKZ458830 TBD458731:TBD458830 SRH458731:SRH458830 SHL458731:SHL458830 RXP458731:RXP458830 RNT458731:RNT458830 RDX458731:RDX458830 QUB458731:QUB458830 QKF458731:QKF458830 QAJ458731:QAJ458830 PQN458731:PQN458830 PGR458731:PGR458830 OWV458731:OWV458830 OMZ458731:OMZ458830 ODD458731:ODD458830 NTH458731:NTH458830 NJL458731:NJL458830 MZP458731:MZP458830 MPT458731:MPT458830 MFX458731:MFX458830 LWB458731:LWB458830 LMF458731:LMF458830 LCJ458731:LCJ458830 KSN458731:KSN458830 KIR458731:KIR458830 JYV458731:JYV458830 JOZ458731:JOZ458830 JFD458731:JFD458830 IVH458731:IVH458830 ILL458731:ILL458830 IBP458731:IBP458830 HRT458731:HRT458830 HHX458731:HHX458830 GYB458731:GYB458830 GOF458731:GOF458830 GEJ458731:GEJ458830 FUN458731:FUN458830 FKR458731:FKR458830 FAV458731:FAV458830 EQZ458731:EQZ458830 EHD458731:EHD458830 DXH458731:DXH458830 DNL458731:DNL458830 DDP458731:DDP458830 CTT458731:CTT458830 CJX458731:CJX458830 CAB458731:CAB458830 BQF458731:BQF458830 BGJ458731:BGJ458830 AWN458731:AWN458830 AMR458731:AMR458830 ACV458731:ACV458830 SZ458731:SZ458830 JD458731:JD458830 G458731:H458830 WVP393195:WVP393294 WLT393195:WLT393294 WBX393195:WBX393294 VSB393195:VSB393294 VIF393195:VIF393294 UYJ393195:UYJ393294 UON393195:UON393294 UER393195:UER393294 TUV393195:TUV393294 TKZ393195:TKZ393294 TBD393195:TBD393294 SRH393195:SRH393294 SHL393195:SHL393294 RXP393195:RXP393294 RNT393195:RNT393294 RDX393195:RDX393294 QUB393195:QUB393294 QKF393195:QKF393294 QAJ393195:QAJ393294 PQN393195:PQN393294 PGR393195:PGR393294 OWV393195:OWV393294 OMZ393195:OMZ393294 ODD393195:ODD393294 NTH393195:NTH393294 NJL393195:NJL393294 MZP393195:MZP393294 MPT393195:MPT393294 MFX393195:MFX393294 LWB393195:LWB393294 LMF393195:LMF393294 LCJ393195:LCJ393294 KSN393195:KSN393294 KIR393195:KIR393294 JYV393195:JYV393294 JOZ393195:JOZ393294 JFD393195:JFD393294 IVH393195:IVH393294 ILL393195:ILL393294 IBP393195:IBP393294 HRT393195:HRT393294 HHX393195:HHX393294 GYB393195:GYB393294 GOF393195:GOF393294 GEJ393195:GEJ393294 FUN393195:FUN393294 FKR393195:FKR393294 FAV393195:FAV393294 EQZ393195:EQZ393294 EHD393195:EHD393294 DXH393195:DXH393294 DNL393195:DNL393294 DDP393195:DDP393294 CTT393195:CTT393294 CJX393195:CJX393294 CAB393195:CAB393294 BQF393195:BQF393294 BGJ393195:BGJ393294 AWN393195:AWN393294 AMR393195:AMR393294 ACV393195:ACV393294 SZ393195:SZ393294 JD393195:JD393294 G393195:H393294 WVP327659:WVP327758 WLT327659:WLT327758 WBX327659:WBX327758 VSB327659:VSB327758 VIF327659:VIF327758 UYJ327659:UYJ327758 UON327659:UON327758 UER327659:UER327758 TUV327659:TUV327758 TKZ327659:TKZ327758 TBD327659:TBD327758 SRH327659:SRH327758 SHL327659:SHL327758 RXP327659:RXP327758 RNT327659:RNT327758 RDX327659:RDX327758 QUB327659:QUB327758 QKF327659:QKF327758 QAJ327659:QAJ327758 PQN327659:PQN327758 PGR327659:PGR327758 OWV327659:OWV327758 OMZ327659:OMZ327758 ODD327659:ODD327758 NTH327659:NTH327758 NJL327659:NJL327758 MZP327659:MZP327758 MPT327659:MPT327758 MFX327659:MFX327758 LWB327659:LWB327758 LMF327659:LMF327758 LCJ327659:LCJ327758 KSN327659:KSN327758 KIR327659:KIR327758 JYV327659:JYV327758 JOZ327659:JOZ327758 JFD327659:JFD327758 IVH327659:IVH327758 ILL327659:ILL327758 IBP327659:IBP327758 HRT327659:HRT327758 HHX327659:HHX327758 GYB327659:GYB327758 GOF327659:GOF327758 GEJ327659:GEJ327758 FUN327659:FUN327758 FKR327659:FKR327758 FAV327659:FAV327758 EQZ327659:EQZ327758 EHD327659:EHD327758 DXH327659:DXH327758 DNL327659:DNL327758 DDP327659:DDP327758 CTT327659:CTT327758 CJX327659:CJX327758 CAB327659:CAB327758 BQF327659:BQF327758 BGJ327659:BGJ327758 AWN327659:AWN327758 AMR327659:AMR327758 ACV327659:ACV327758 SZ327659:SZ327758 JD327659:JD327758 G327659:H327758 WVP262123:WVP262222 WLT262123:WLT262222 WBX262123:WBX262222 VSB262123:VSB262222 VIF262123:VIF262222 UYJ262123:UYJ262222 UON262123:UON262222 UER262123:UER262222 TUV262123:TUV262222 TKZ262123:TKZ262222 TBD262123:TBD262222 SRH262123:SRH262222 SHL262123:SHL262222 RXP262123:RXP262222 RNT262123:RNT262222 RDX262123:RDX262222 QUB262123:QUB262222 QKF262123:QKF262222 QAJ262123:QAJ262222 PQN262123:PQN262222 PGR262123:PGR262222 OWV262123:OWV262222 OMZ262123:OMZ262222 ODD262123:ODD262222 NTH262123:NTH262222 NJL262123:NJL262222 MZP262123:MZP262222 MPT262123:MPT262222 MFX262123:MFX262222 LWB262123:LWB262222 LMF262123:LMF262222 LCJ262123:LCJ262222 KSN262123:KSN262222 KIR262123:KIR262222 JYV262123:JYV262222 JOZ262123:JOZ262222 JFD262123:JFD262222 IVH262123:IVH262222 ILL262123:ILL262222 IBP262123:IBP262222 HRT262123:HRT262222 HHX262123:HHX262222 GYB262123:GYB262222 GOF262123:GOF262222 GEJ262123:GEJ262222 FUN262123:FUN262222 FKR262123:FKR262222 FAV262123:FAV262222 EQZ262123:EQZ262222 EHD262123:EHD262222 DXH262123:DXH262222 DNL262123:DNL262222 DDP262123:DDP262222 CTT262123:CTT262222 CJX262123:CJX262222 CAB262123:CAB262222 BQF262123:BQF262222 BGJ262123:BGJ262222 AWN262123:AWN262222 AMR262123:AMR262222 ACV262123:ACV262222 SZ262123:SZ262222 JD262123:JD262222 G262123:H262222 WVP196587:WVP196686 WLT196587:WLT196686 WBX196587:WBX196686 VSB196587:VSB196686 VIF196587:VIF196686 UYJ196587:UYJ196686 UON196587:UON196686 UER196587:UER196686 TUV196587:TUV196686 TKZ196587:TKZ196686 TBD196587:TBD196686 SRH196587:SRH196686 SHL196587:SHL196686 RXP196587:RXP196686 RNT196587:RNT196686 RDX196587:RDX196686 QUB196587:QUB196686 QKF196587:QKF196686 QAJ196587:QAJ196686 PQN196587:PQN196686 PGR196587:PGR196686 OWV196587:OWV196686 OMZ196587:OMZ196686 ODD196587:ODD196686 NTH196587:NTH196686 NJL196587:NJL196686 MZP196587:MZP196686 MPT196587:MPT196686 MFX196587:MFX196686 LWB196587:LWB196686 LMF196587:LMF196686 LCJ196587:LCJ196686 KSN196587:KSN196686 KIR196587:KIR196686 JYV196587:JYV196686 JOZ196587:JOZ196686 JFD196587:JFD196686 IVH196587:IVH196686 ILL196587:ILL196686 IBP196587:IBP196686 HRT196587:HRT196686 HHX196587:HHX196686 GYB196587:GYB196686 GOF196587:GOF196686 GEJ196587:GEJ196686 FUN196587:FUN196686 FKR196587:FKR196686 FAV196587:FAV196686 EQZ196587:EQZ196686 EHD196587:EHD196686 DXH196587:DXH196686 DNL196587:DNL196686 DDP196587:DDP196686 CTT196587:CTT196686 CJX196587:CJX196686 CAB196587:CAB196686 BQF196587:BQF196686 BGJ196587:BGJ196686 AWN196587:AWN196686 AMR196587:AMR196686 ACV196587:ACV196686 SZ196587:SZ196686 JD196587:JD196686 G196587:H196686 WVP131051:WVP131150 WLT131051:WLT131150 WBX131051:WBX131150 VSB131051:VSB131150 VIF131051:VIF131150 UYJ131051:UYJ131150 UON131051:UON131150 UER131051:UER131150 TUV131051:TUV131150 TKZ131051:TKZ131150 TBD131051:TBD131150 SRH131051:SRH131150 SHL131051:SHL131150 RXP131051:RXP131150 RNT131051:RNT131150 RDX131051:RDX131150 QUB131051:QUB131150 QKF131051:QKF131150 QAJ131051:QAJ131150 PQN131051:PQN131150 PGR131051:PGR131150 OWV131051:OWV131150 OMZ131051:OMZ131150 ODD131051:ODD131150 NTH131051:NTH131150 NJL131051:NJL131150 MZP131051:MZP131150 MPT131051:MPT131150 MFX131051:MFX131150 LWB131051:LWB131150 LMF131051:LMF131150 LCJ131051:LCJ131150 KSN131051:KSN131150 KIR131051:KIR131150 JYV131051:JYV131150 JOZ131051:JOZ131150 JFD131051:JFD131150 IVH131051:IVH131150 ILL131051:ILL131150 IBP131051:IBP131150 HRT131051:HRT131150 HHX131051:HHX131150 GYB131051:GYB131150 GOF131051:GOF131150 GEJ131051:GEJ131150 FUN131051:FUN131150 FKR131051:FKR131150 FAV131051:FAV131150 EQZ131051:EQZ131150 EHD131051:EHD131150 DXH131051:DXH131150 DNL131051:DNL131150 DDP131051:DDP131150 CTT131051:CTT131150 CJX131051:CJX131150 CAB131051:CAB131150 BQF131051:BQF131150 BGJ131051:BGJ131150 AWN131051:AWN131150 AMR131051:AMR131150 ACV131051:ACV131150 SZ131051:SZ131150 JD131051:JD131150 G131051:H131150 WVP65515:WVP65614 WLT65515:WLT65614 WBX65515:WBX65614 VSB65515:VSB65614 VIF65515:VIF65614 UYJ65515:UYJ65614 UON65515:UON65614 UER65515:UER65614 TUV65515:TUV65614 TKZ65515:TKZ65614 TBD65515:TBD65614 SRH65515:SRH65614 SHL65515:SHL65614 RXP65515:RXP65614 RNT65515:RNT65614 RDX65515:RDX65614 QUB65515:QUB65614 QKF65515:QKF65614 QAJ65515:QAJ65614 PQN65515:PQN65614 PGR65515:PGR65614 OWV65515:OWV65614 OMZ65515:OMZ65614 ODD65515:ODD65614 NTH65515:NTH65614 NJL65515:NJL65614 MZP65515:MZP65614 MPT65515:MPT65614 MFX65515:MFX65614 LWB65515:LWB65614 LMF65515:LMF65614 LCJ65515:LCJ65614 KSN65515:KSN65614 KIR65515:KIR65614 JYV65515:JYV65614 JOZ65515:JOZ65614 JFD65515:JFD65614 IVH65515:IVH65614 ILL65515:ILL65614 IBP65515:IBP65614 HRT65515:HRT65614 HHX65515:HHX65614 GYB65515:GYB65614 GOF65515:GOF65614 GEJ65515:GEJ65614 FUN65515:FUN65614 FKR65515:FKR65614 FAV65515:FAV65614 EQZ65515:EQZ65614 EHD65515:EHD65614 DXH65515:DXH65614 DNL65515:DNL65614 DDP65515:DDP65614 CTT65515:CTT65614 CJX65515:CJX65614 CAB65515:CAB65614 BQF65515:BQF65614 BGJ65515:BGJ65614 AWN65515:AWN65614 AMR65515:AMR65614 ACV65515:ACV65614 SZ65515:SZ65614 JD65515:JD65614 G65515:H65614" xr:uid="{55B7A391-FC65-40B7-B7B3-E62883F40442}">
      <formula1>$Q$3:$Q$28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1546-0F2F-41C9-8C07-F69DC86BD434}">
  <sheetPr codeName="Sheet5"/>
  <dimension ref="A1:P63"/>
  <sheetViews>
    <sheetView workbookViewId="0">
      <selection activeCell="F12" sqref="F12"/>
    </sheetView>
  </sheetViews>
  <sheetFormatPr defaultRowHeight="14.4" x14ac:dyDescent="0.3"/>
  <cols>
    <col min="5" max="5" width="22.6640625" customWidth="1"/>
    <col min="6" max="6" width="17.5546875" customWidth="1"/>
    <col min="10" max="10" width="14.5546875" customWidth="1"/>
    <col min="12" max="12" width="16" customWidth="1"/>
    <col min="13" max="13" width="11.88671875" customWidth="1"/>
    <col min="15" max="15" width="11.5546875" customWidth="1"/>
  </cols>
  <sheetData>
    <row r="1" spans="1:16" ht="21.6" thickBot="1" x14ac:dyDescent="0.45">
      <c r="A1" s="291" t="s">
        <v>139</v>
      </c>
      <c r="B1" s="292"/>
      <c r="C1" s="292"/>
      <c r="D1" s="292"/>
      <c r="E1" s="292"/>
      <c r="F1" s="293" t="s">
        <v>138</v>
      </c>
      <c r="G1" s="294"/>
      <c r="H1" s="294"/>
      <c r="I1" s="294"/>
      <c r="J1" s="294"/>
      <c r="K1" s="294"/>
      <c r="L1" s="294"/>
      <c r="M1" s="294"/>
      <c r="N1" s="294"/>
      <c r="O1" s="294"/>
      <c r="P1" s="295"/>
    </row>
    <row r="2" spans="1:16" ht="18" x14ac:dyDescent="0.35">
      <c r="A2" s="37" t="s">
        <v>22</v>
      </c>
      <c r="B2" s="38" t="s">
        <v>2</v>
      </c>
      <c r="C2" s="38" t="s">
        <v>23</v>
      </c>
      <c r="D2" s="39" t="s">
        <v>17</v>
      </c>
      <c r="E2" s="40" t="s">
        <v>24</v>
      </c>
      <c r="F2" s="41" t="s">
        <v>29</v>
      </c>
      <c r="G2" s="37" t="s">
        <v>30</v>
      </c>
      <c r="H2" s="42" t="s">
        <v>31</v>
      </c>
      <c r="I2" s="42" t="s">
        <v>32</v>
      </c>
      <c r="J2" s="55" t="s">
        <v>203</v>
      </c>
      <c r="K2" s="42" t="s">
        <v>33</v>
      </c>
      <c r="L2" s="42" t="s">
        <v>205</v>
      </c>
      <c r="M2" s="42" t="s">
        <v>204</v>
      </c>
      <c r="N2" s="42" t="s">
        <v>175</v>
      </c>
      <c r="O2" s="42" t="s">
        <v>202</v>
      </c>
      <c r="P2" s="43" t="s">
        <v>37</v>
      </c>
    </row>
    <row r="3" spans="1:16" ht="16.2" thickBot="1" x14ac:dyDescent="0.35">
      <c r="A3" t="s">
        <v>38</v>
      </c>
      <c r="F3" s="36"/>
      <c r="G3" s="6">
        <v>100</v>
      </c>
      <c r="H3" s="7">
        <v>100</v>
      </c>
      <c r="I3" s="7">
        <v>100</v>
      </c>
      <c r="J3" s="7">
        <v>100</v>
      </c>
      <c r="K3" s="7">
        <v>100</v>
      </c>
      <c r="L3" s="7">
        <v>100</v>
      </c>
      <c r="M3" s="7">
        <v>100</v>
      </c>
      <c r="N3" s="7">
        <v>100</v>
      </c>
      <c r="O3" s="8">
        <v>100</v>
      </c>
      <c r="P3" s="44">
        <f>SUM(G3,H3,I3,J3,K3,L3,M3,N3,O3)</f>
        <v>900</v>
      </c>
    </row>
    <row r="4" spans="1:16" ht="15.6" x14ac:dyDescent="0.3">
      <c r="A4" s="32">
        <v>1</v>
      </c>
      <c r="B4" s="33">
        <f>'FM-1'!D3</f>
        <v>1000</v>
      </c>
      <c r="C4" s="33" t="str">
        <f>'FM-1'!B3</f>
        <v>7TH</v>
      </c>
      <c r="D4" s="33">
        <f>'FM-1'!C3</f>
        <v>1</v>
      </c>
      <c r="E4" s="34" t="str">
        <f>'FM-1'!E3</f>
        <v>Ali1</v>
      </c>
      <c r="F4" s="35" t="s">
        <v>41</v>
      </c>
      <c r="G4" s="10">
        <v>70</v>
      </c>
      <c r="H4" s="10">
        <v>30</v>
      </c>
      <c r="I4" s="10">
        <v>40</v>
      </c>
      <c r="J4" s="10">
        <v>70</v>
      </c>
      <c r="K4" s="10">
        <v>83</v>
      </c>
      <c r="L4" s="10">
        <v>58</v>
      </c>
      <c r="M4" s="10">
        <v>54</v>
      </c>
      <c r="N4" s="10">
        <v>37</v>
      </c>
      <c r="O4" s="10">
        <v>28</v>
      </c>
      <c r="P4" s="45">
        <f t="shared" ref="P4:P37" si="0">SUM(G4,H4,I4,J4,K4,L4,M4,N4,O4)</f>
        <v>470</v>
      </c>
    </row>
    <row r="5" spans="1:16" ht="15.6" x14ac:dyDescent="0.3">
      <c r="A5" s="32">
        <v>2</v>
      </c>
      <c r="B5" s="33">
        <f>'FM-1'!D4</f>
        <v>1001</v>
      </c>
      <c r="C5" s="33" t="str">
        <f>'FM-1'!B4</f>
        <v>7TH</v>
      </c>
      <c r="D5" s="33">
        <f>'FM-1'!C4</f>
        <v>2</v>
      </c>
      <c r="E5" s="34" t="str">
        <f>'FM-1'!E4</f>
        <v>Ali2</v>
      </c>
      <c r="F5" s="35" t="str">
        <f>F4</f>
        <v>ANNUAL EXAM 2024</v>
      </c>
      <c r="G5" s="11">
        <v>68</v>
      </c>
      <c r="H5" s="11">
        <v>59</v>
      </c>
      <c r="I5" s="11">
        <v>40</v>
      </c>
      <c r="J5" s="11">
        <v>92</v>
      </c>
      <c r="K5" s="11">
        <v>76</v>
      </c>
      <c r="L5" s="11">
        <v>56</v>
      </c>
      <c r="M5" s="11">
        <v>61</v>
      </c>
      <c r="N5" s="11">
        <v>58</v>
      </c>
      <c r="O5" s="11">
        <v>40</v>
      </c>
      <c r="P5" s="45">
        <f t="shared" si="0"/>
        <v>550</v>
      </c>
    </row>
    <row r="6" spans="1:16" ht="15.6" x14ac:dyDescent="0.3">
      <c r="A6" s="32">
        <v>3</v>
      </c>
      <c r="B6" s="33">
        <f>'FM-1'!D5</f>
        <v>1002</v>
      </c>
      <c r="C6" s="33" t="str">
        <f>'FM-1'!B5</f>
        <v>7TH</v>
      </c>
      <c r="D6" s="33">
        <f>'FM-1'!C5</f>
        <v>3</v>
      </c>
      <c r="E6" s="34" t="str">
        <f>'FM-1'!E5</f>
        <v>Ali3</v>
      </c>
      <c r="F6" s="35" t="str">
        <f t="shared" ref="F6:F37" si="1">F5</f>
        <v>ANNUAL EXAM 2024</v>
      </c>
      <c r="G6" s="11">
        <v>68</v>
      </c>
      <c r="H6" s="11">
        <v>35</v>
      </c>
      <c r="I6" s="11">
        <v>34</v>
      </c>
      <c r="J6" s="11">
        <v>90</v>
      </c>
      <c r="K6" s="11">
        <v>77</v>
      </c>
      <c r="L6" s="11">
        <v>74</v>
      </c>
      <c r="M6" s="11">
        <v>61</v>
      </c>
      <c r="N6" s="11">
        <v>58</v>
      </c>
      <c r="O6" s="11">
        <v>37</v>
      </c>
      <c r="P6" s="45">
        <f>SUM(G6,H6,I6,J6,K6,L6,M6,N6,O6)</f>
        <v>534</v>
      </c>
    </row>
    <row r="7" spans="1:16" ht="15.6" x14ac:dyDescent="0.3">
      <c r="A7" s="32">
        <v>4</v>
      </c>
      <c r="B7" s="33">
        <f>'FM-1'!D6</f>
        <v>1003</v>
      </c>
      <c r="C7" s="33" t="str">
        <f>'FM-1'!B6</f>
        <v>7TH</v>
      </c>
      <c r="D7" s="33">
        <f>'FM-1'!C6</f>
        <v>4</v>
      </c>
      <c r="E7" s="34" t="str">
        <f>'FM-1'!E6</f>
        <v>Ali4</v>
      </c>
      <c r="F7" s="35" t="str">
        <f t="shared" si="1"/>
        <v>ANNUAL EXAM 2024</v>
      </c>
      <c r="G7" s="11">
        <v>64</v>
      </c>
      <c r="H7" s="11">
        <v>39</v>
      </c>
      <c r="I7" s="11">
        <v>40</v>
      </c>
      <c r="J7" s="11">
        <v>53</v>
      </c>
      <c r="K7" s="11">
        <v>80</v>
      </c>
      <c r="L7" s="11">
        <v>40</v>
      </c>
      <c r="M7" s="11">
        <v>45</v>
      </c>
      <c r="N7" s="11">
        <v>31</v>
      </c>
      <c r="O7" s="11">
        <v>21</v>
      </c>
      <c r="P7" s="45">
        <f t="shared" si="0"/>
        <v>413</v>
      </c>
    </row>
    <row r="8" spans="1:16" ht="15.6" x14ac:dyDescent="0.3">
      <c r="A8" s="32">
        <v>5</v>
      </c>
      <c r="B8" s="33">
        <f>'FM-1'!D7</f>
        <v>1004</v>
      </c>
      <c r="C8" s="33" t="str">
        <f>'FM-1'!B7</f>
        <v>7TH</v>
      </c>
      <c r="D8" s="33">
        <f>'FM-1'!C7</f>
        <v>5</v>
      </c>
      <c r="E8" s="34" t="str">
        <f>'FM-1'!E7</f>
        <v>Ali5</v>
      </c>
      <c r="F8" s="35" t="str">
        <f t="shared" si="1"/>
        <v>ANNUAL EXAM 2024</v>
      </c>
      <c r="G8" s="11">
        <v>63</v>
      </c>
      <c r="H8" s="11">
        <v>53</v>
      </c>
      <c r="I8" s="11">
        <v>88</v>
      </c>
      <c r="J8" s="11">
        <v>96</v>
      </c>
      <c r="K8" s="11">
        <v>75</v>
      </c>
      <c r="L8" s="11">
        <v>54</v>
      </c>
      <c r="M8" s="11">
        <v>58</v>
      </c>
      <c r="N8" s="11">
        <v>55</v>
      </c>
      <c r="O8" s="11">
        <v>40</v>
      </c>
      <c r="P8" s="45">
        <f t="shared" si="0"/>
        <v>582</v>
      </c>
    </row>
    <row r="9" spans="1:16" ht="15.6" x14ac:dyDescent="0.3">
      <c r="A9" s="32">
        <v>6</v>
      </c>
      <c r="B9" s="33">
        <f>'FM-1'!D8</f>
        <v>1005</v>
      </c>
      <c r="C9" s="33" t="str">
        <f>'FM-1'!B8</f>
        <v>7TH</v>
      </c>
      <c r="D9" s="33">
        <f>'FM-1'!C8</f>
        <v>6</v>
      </c>
      <c r="E9" s="34" t="str">
        <f>'FM-1'!E8</f>
        <v>Ali6</v>
      </c>
      <c r="F9" s="35" t="str">
        <f t="shared" si="1"/>
        <v>ANNUAL EXAM 2024</v>
      </c>
      <c r="G9" s="11">
        <v>63</v>
      </c>
      <c r="H9" s="11">
        <v>62</v>
      </c>
      <c r="I9" s="11">
        <v>60</v>
      </c>
      <c r="J9" s="11">
        <v>82</v>
      </c>
      <c r="K9" s="11">
        <v>78</v>
      </c>
      <c r="L9" s="11">
        <v>54</v>
      </c>
      <c r="M9" s="11">
        <v>53</v>
      </c>
      <c r="N9" s="11">
        <v>52</v>
      </c>
      <c r="O9" s="11">
        <v>32</v>
      </c>
      <c r="P9" s="45">
        <f t="shared" si="0"/>
        <v>536</v>
      </c>
    </row>
    <row r="10" spans="1:16" ht="15.6" x14ac:dyDescent="0.3">
      <c r="A10" s="32">
        <v>7</v>
      </c>
      <c r="B10" s="33">
        <f>'FM-1'!D9</f>
        <v>1006</v>
      </c>
      <c r="C10" s="33" t="str">
        <f>'FM-1'!B9</f>
        <v>7TH</v>
      </c>
      <c r="D10" s="33">
        <f>'FM-1'!C9</f>
        <v>7</v>
      </c>
      <c r="E10" s="34" t="str">
        <f>'FM-1'!E9</f>
        <v>Ali7</v>
      </c>
      <c r="F10" s="35" t="str">
        <f t="shared" si="1"/>
        <v>ANNUAL EXAM 2024</v>
      </c>
      <c r="G10" s="11">
        <v>64</v>
      </c>
      <c r="H10" s="11">
        <v>45</v>
      </c>
      <c r="I10" s="11">
        <v>40</v>
      </c>
      <c r="J10" s="11">
        <v>50</v>
      </c>
      <c r="K10" s="11">
        <v>74</v>
      </c>
      <c r="L10" s="11">
        <v>78</v>
      </c>
      <c r="M10" s="11">
        <v>53</v>
      </c>
      <c r="N10" s="11">
        <v>57</v>
      </c>
      <c r="O10" s="11">
        <v>36</v>
      </c>
      <c r="P10" s="45">
        <f t="shared" si="0"/>
        <v>497</v>
      </c>
    </row>
    <row r="11" spans="1:16" ht="15.6" x14ac:dyDescent="0.3">
      <c r="A11" s="32">
        <v>8</v>
      </c>
      <c r="B11" s="33">
        <f>'FM-1'!D10</f>
        <v>1007</v>
      </c>
      <c r="C11" s="33" t="str">
        <f>'FM-1'!B10</f>
        <v>7TH</v>
      </c>
      <c r="D11" s="33">
        <f>'FM-1'!C10</f>
        <v>8</v>
      </c>
      <c r="E11" s="34" t="str">
        <f>'FM-1'!E10</f>
        <v>Ali8</v>
      </c>
      <c r="F11" s="35" t="str">
        <f t="shared" si="1"/>
        <v>ANNUAL EXAM 2024</v>
      </c>
      <c r="G11" s="11">
        <v>69</v>
      </c>
      <c r="H11" s="11">
        <v>33</v>
      </c>
      <c r="I11" s="11">
        <v>50</v>
      </c>
      <c r="J11" s="11">
        <v>83</v>
      </c>
      <c r="K11" s="11">
        <v>93</v>
      </c>
      <c r="L11" s="11">
        <v>48</v>
      </c>
      <c r="M11" s="11">
        <v>73</v>
      </c>
      <c r="N11" s="11">
        <v>60</v>
      </c>
      <c r="O11" s="11">
        <v>39</v>
      </c>
      <c r="P11" s="45">
        <f t="shared" si="0"/>
        <v>548</v>
      </c>
    </row>
    <row r="12" spans="1:16" ht="15.6" x14ac:dyDescent="0.3">
      <c r="A12" s="32">
        <v>9</v>
      </c>
      <c r="B12" s="33">
        <f>'FM-1'!D11</f>
        <v>1008</v>
      </c>
      <c r="C12" s="33" t="str">
        <f>'FM-1'!B11</f>
        <v>7TH</v>
      </c>
      <c r="D12" s="33">
        <f>'FM-1'!C11</f>
        <v>9</v>
      </c>
      <c r="E12" s="34" t="str">
        <f>'FM-1'!E11</f>
        <v>Ali9</v>
      </c>
      <c r="F12" s="35" t="str">
        <f t="shared" si="1"/>
        <v>ANNUAL EXAM 2024</v>
      </c>
      <c r="G12" s="11">
        <v>65</v>
      </c>
      <c r="H12" s="11">
        <v>33</v>
      </c>
      <c r="I12" s="11">
        <v>44</v>
      </c>
      <c r="J12" s="11">
        <v>40</v>
      </c>
      <c r="K12" s="11">
        <v>73</v>
      </c>
      <c r="L12" s="11">
        <v>42</v>
      </c>
      <c r="M12" s="11">
        <v>43</v>
      </c>
      <c r="N12" s="11">
        <v>20</v>
      </c>
      <c r="O12" s="11">
        <v>15</v>
      </c>
      <c r="P12" s="45">
        <f t="shared" si="0"/>
        <v>375</v>
      </c>
    </row>
    <row r="13" spans="1:16" ht="15.6" x14ac:dyDescent="0.3">
      <c r="A13" s="32">
        <v>10</v>
      </c>
      <c r="B13" s="33">
        <f>'FM-1'!D12</f>
        <v>1009</v>
      </c>
      <c r="C13" s="33" t="str">
        <f>'FM-1'!B12</f>
        <v>7TH</v>
      </c>
      <c r="D13" s="33">
        <f>'FM-1'!C12</f>
        <v>10</v>
      </c>
      <c r="E13" s="34" t="str">
        <f>'FM-1'!E12</f>
        <v>Ali10</v>
      </c>
      <c r="F13" s="35" t="str">
        <f t="shared" si="1"/>
        <v>ANNUAL EXAM 2024</v>
      </c>
      <c r="G13" s="11">
        <v>49</v>
      </c>
      <c r="H13" s="11">
        <v>33</v>
      </c>
      <c r="I13" s="11">
        <v>40</v>
      </c>
      <c r="J13" s="11">
        <v>35</v>
      </c>
      <c r="K13" s="11">
        <v>60</v>
      </c>
      <c r="L13" s="11">
        <v>40</v>
      </c>
      <c r="M13" s="11">
        <v>37</v>
      </c>
      <c r="N13" s="11">
        <v>19</v>
      </c>
      <c r="O13" s="11">
        <v>15</v>
      </c>
      <c r="P13" s="45">
        <f t="shared" si="0"/>
        <v>328</v>
      </c>
    </row>
    <row r="14" spans="1:16" ht="15.6" x14ac:dyDescent="0.3">
      <c r="A14" s="32">
        <v>11</v>
      </c>
      <c r="B14" s="33">
        <f>'FM-1'!D13</f>
        <v>1010</v>
      </c>
      <c r="C14" s="33" t="str">
        <f>'FM-1'!B13</f>
        <v>7TH</v>
      </c>
      <c r="D14" s="33">
        <f>'FM-1'!C13</f>
        <v>11</v>
      </c>
      <c r="E14" s="34" t="str">
        <f>'FM-1'!E13</f>
        <v>Ali11</v>
      </c>
      <c r="F14" s="35" t="str">
        <f t="shared" si="1"/>
        <v>ANNUAL EXAM 2024</v>
      </c>
      <c r="G14" s="11">
        <v>40</v>
      </c>
      <c r="H14" s="11">
        <v>33</v>
      </c>
      <c r="I14" s="11">
        <v>40</v>
      </c>
      <c r="J14" s="11">
        <v>50</v>
      </c>
      <c r="K14" s="11">
        <v>62</v>
      </c>
      <c r="L14" s="11">
        <v>56</v>
      </c>
      <c r="M14" s="11">
        <v>49</v>
      </c>
      <c r="N14" s="11">
        <v>20</v>
      </c>
      <c r="O14" s="11">
        <v>15</v>
      </c>
      <c r="P14" s="45">
        <f t="shared" si="0"/>
        <v>365</v>
      </c>
    </row>
    <row r="15" spans="1:16" ht="15.6" x14ac:dyDescent="0.3">
      <c r="A15" s="32">
        <v>12</v>
      </c>
      <c r="B15" s="33">
        <f>'FM-1'!D14</f>
        <v>1011</v>
      </c>
      <c r="C15" s="33" t="str">
        <f>'FM-1'!B14</f>
        <v>7TH</v>
      </c>
      <c r="D15" s="33">
        <f>'FM-1'!C14</f>
        <v>12</v>
      </c>
      <c r="E15" s="34" t="str">
        <f>'FM-1'!E14</f>
        <v>Ali12</v>
      </c>
      <c r="F15" s="35" t="str">
        <f t="shared" si="1"/>
        <v>ANNUAL EXAM 2024</v>
      </c>
      <c r="G15" s="11">
        <v>54</v>
      </c>
      <c r="H15" s="11">
        <v>33</v>
      </c>
      <c r="I15" s="11">
        <v>36</v>
      </c>
      <c r="J15" s="11">
        <v>35</v>
      </c>
      <c r="K15" s="11">
        <v>57</v>
      </c>
      <c r="L15" s="11">
        <v>40</v>
      </c>
      <c r="M15" s="11">
        <v>35</v>
      </c>
      <c r="N15" s="11">
        <v>18</v>
      </c>
      <c r="O15" s="11">
        <v>14</v>
      </c>
      <c r="P15" s="45">
        <f t="shared" si="0"/>
        <v>322</v>
      </c>
    </row>
    <row r="16" spans="1:16" ht="15.6" x14ac:dyDescent="0.3">
      <c r="A16" s="32">
        <v>13</v>
      </c>
      <c r="B16" s="33">
        <f>'FM-1'!D15</f>
        <v>1012</v>
      </c>
      <c r="C16" s="33" t="str">
        <f>'FM-1'!B15</f>
        <v>7TH</v>
      </c>
      <c r="D16" s="33">
        <f>'FM-1'!C15</f>
        <v>13</v>
      </c>
      <c r="E16" s="34" t="str">
        <f>'FM-1'!E15</f>
        <v>Ali13</v>
      </c>
      <c r="F16" s="35" t="str">
        <f t="shared" si="1"/>
        <v>ANNUAL EXAM 2024</v>
      </c>
      <c r="G16" s="11">
        <v>68</v>
      </c>
      <c r="H16" s="11">
        <v>33</v>
      </c>
      <c r="I16" s="11">
        <v>40</v>
      </c>
      <c r="J16" s="11">
        <v>54</v>
      </c>
      <c r="K16" s="11">
        <v>67</v>
      </c>
      <c r="L16" s="11">
        <v>66</v>
      </c>
      <c r="M16" s="11">
        <v>43</v>
      </c>
      <c r="N16" s="11">
        <v>40</v>
      </c>
      <c r="O16" s="11">
        <v>28</v>
      </c>
      <c r="P16" s="45">
        <f t="shared" si="0"/>
        <v>439</v>
      </c>
    </row>
    <row r="17" spans="1:16" ht="15.6" x14ac:dyDescent="0.3">
      <c r="A17" s="32">
        <v>14</v>
      </c>
      <c r="B17" s="33">
        <f>'FM-1'!D16</f>
        <v>1013</v>
      </c>
      <c r="C17" s="33" t="str">
        <f>'FM-1'!B16</f>
        <v>7TH</v>
      </c>
      <c r="D17" s="33">
        <f>'FM-1'!C16</f>
        <v>14</v>
      </c>
      <c r="E17" s="34" t="str">
        <f>'FM-1'!E16</f>
        <v>Ali14</v>
      </c>
      <c r="F17" s="35" t="str">
        <f t="shared" si="1"/>
        <v>ANNUAL EXAM 2024</v>
      </c>
      <c r="G17" s="11">
        <v>46</v>
      </c>
      <c r="H17" s="11">
        <v>33</v>
      </c>
      <c r="I17" s="11">
        <v>34</v>
      </c>
      <c r="J17" s="11">
        <v>44</v>
      </c>
      <c r="K17" s="11">
        <v>73</v>
      </c>
      <c r="L17" s="11">
        <v>50</v>
      </c>
      <c r="M17" s="11">
        <v>32</v>
      </c>
      <c r="N17" s="11">
        <v>32</v>
      </c>
      <c r="O17" s="11">
        <v>30</v>
      </c>
      <c r="P17" s="45">
        <f t="shared" si="0"/>
        <v>374</v>
      </c>
    </row>
    <row r="18" spans="1:16" ht="15.6" x14ac:dyDescent="0.3">
      <c r="A18" s="32">
        <v>15</v>
      </c>
      <c r="B18" s="33">
        <f>'FM-1'!D17</f>
        <v>1014</v>
      </c>
      <c r="C18" s="33" t="str">
        <f>'FM-1'!B17</f>
        <v>7TH</v>
      </c>
      <c r="D18" s="33">
        <f>'FM-1'!C17</f>
        <v>15</v>
      </c>
      <c r="E18" s="34" t="str">
        <f>'FM-1'!E17</f>
        <v>Ali15</v>
      </c>
      <c r="F18" s="35" t="str">
        <f t="shared" si="1"/>
        <v>ANNUAL EXAM 2024</v>
      </c>
      <c r="G18" s="11">
        <v>61</v>
      </c>
      <c r="H18" s="11">
        <v>33</v>
      </c>
      <c r="I18" s="11">
        <v>36</v>
      </c>
      <c r="J18" s="11">
        <v>70</v>
      </c>
      <c r="K18" s="11">
        <v>73</v>
      </c>
      <c r="L18" s="11">
        <v>52</v>
      </c>
      <c r="M18" s="11">
        <v>47</v>
      </c>
      <c r="N18" s="11">
        <v>19</v>
      </c>
      <c r="O18" s="11">
        <v>30</v>
      </c>
      <c r="P18" s="45">
        <f t="shared" si="0"/>
        <v>421</v>
      </c>
    </row>
    <row r="19" spans="1:16" ht="15.6" x14ac:dyDescent="0.3">
      <c r="A19" s="32">
        <v>16</v>
      </c>
      <c r="B19" s="33">
        <f>'FM-1'!D18</f>
        <v>1015</v>
      </c>
      <c r="C19" s="33" t="str">
        <f>'FM-1'!B18</f>
        <v>7TH</v>
      </c>
      <c r="D19" s="33">
        <f>'FM-1'!C18</f>
        <v>16</v>
      </c>
      <c r="E19" s="34" t="str">
        <f>'FM-1'!E18</f>
        <v>Ali16</v>
      </c>
      <c r="F19" s="35" t="str">
        <f t="shared" si="1"/>
        <v>ANNUAL EXAM 2024</v>
      </c>
      <c r="G19" s="11">
        <v>64</v>
      </c>
      <c r="H19" s="11">
        <v>52</v>
      </c>
      <c r="I19" s="11">
        <v>54</v>
      </c>
      <c r="J19" s="11">
        <v>95</v>
      </c>
      <c r="K19" s="11">
        <v>75</v>
      </c>
      <c r="L19" s="11">
        <v>78</v>
      </c>
      <c r="M19" s="11">
        <v>57</v>
      </c>
      <c r="N19" s="11">
        <v>44</v>
      </c>
      <c r="O19" s="11">
        <v>35</v>
      </c>
      <c r="P19" s="45">
        <f t="shared" si="0"/>
        <v>554</v>
      </c>
    </row>
    <row r="20" spans="1:16" ht="15.6" x14ac:dyDescent="0.3">
      <c r="A20" s="32">
        <v>17</v>
      </c>
      <c r="B20" s="33">
        <f>'FM-1'!D19</f>
        <v>1016</v>
      </c>
      <c r="C20" s="33" t="str">
        <f>'FM-1'!B19</f>
        <v>7TH</v>
      </c>
      <c r="D20" s="33">
        <f>'FM-1'!C19</f>
        <v>17</v>
      </c>
      <c r="E20" s="34" t="str">
        <f>'FM-1'!E19</f>
        <v>Ali17</v>
      </c>
      <c r="F20" s="35" t="str">
        <f t="shared" si="1"/>
        <v>ANNUAL EXAM 2024</v>
      </c>
      <c r="G20" s="11">
        <v>54</v>
      </c>
      <c r="H20" s="11">
        <v>63</v>
      </c>
      <c r="I20" s="11">
        <v>50</v>
      </c>
      <c r="J20" s="11">
        <v>95</v>
      </c>
      <c r="K20" s="11">
        <v>75</v>
      </c>
      <c r="L20" s="11">
        <v>64</v>
      </c>
      <c r="M20" s="11">
        <v>70</v>
      </c>
      <c r="N20" s="11">
        <v>55</v>
      </c>
      <c r="O20" s="11">
        <v>36</v>
      </c>
      <c r="P20" s="45">
        <f t="shared" si="0"/>
        <v>562</v>
      </c>
    </row>
    <row r="21" spans="1:16" ht="15.6" x14ac:dyDescent="0.3">
      <c r="A21" s="32">
        <v>18</v>
      </c>
      <c r="B21" s="33">
        <f>'FM-1'!D20</f>
        <v>1017</v>
      </c>
      <c r="C21" s="33" t="str">
        <f>'FM-1'!B20</f>
        <v>7TH</v>
      </c>
      <c r="D21" s="33">
        <f>'FM-1'!C20</f>
        <v>18</v>
      </c>
      <c r="E21" s="34" t="str">
        <f>'FM-1'!E20</f>
        <v>Ali18</v>
      </c>
      <c r="F21" s="35" t="str">
        <f t="shared" si="1"/>
        <v>ANNUAL EXAM 2024</v>
      </c>
      <c r="G21" s="11">
        <v>68</v>
      </c>
      <c r="H21" s="11">
        <v>52</v>
      </c>
      <c r="I21" s="11">
        <v>50</v>
      </c>
      <c r="J21" s="11">
        <v>89</v>
      </c>
      <c r="K21" s="11">
        <v>94</v>
      </c>
      <c r="L21" s="11">
        <v>76</v>
      </c>
      <c r="M21" s="11">
        <v>91</v>
      </c>
      <c r="N21" s="11">
        <v>50</v>
      </c>
      <c r="O21" s="11">
        <v>39</v>
      </c>
      <c r="P21" s="45">
        <f t="shared" si="0"/>
        <v>609</v>
      </c>
    </row>
    <row r="22" spans="1:16" ht="15.6" x14ac:dyDescent="0.3">
      <c r="A22" s="32">
        <v>19</v>
      </c>
      <c r="B22" s="33">
        <f>'FM-1'!D21</f>
        <v>1018</v>
      </c>
      <c r="C22" s="33" t="str">
        <f>'FM-1'!B21</f>
        <v>7TH</v>
      </c>
      <c r="D22" s="33">
        <f>'FM-1'!C21</f>
        <v>19</v>
      </c>
      <c r="E22" s="34" t="str">
        <f>'FM-1'!E21</f>
        <v>Ali19</v>
      </c>
      <c r="F22" s="35" t="str">
        <f t="shared" si="1"/>
        <v>ANNUAL EXAM 2024</v>
      </c>
      <c r="G22" s="11">
        <v>65</v>
      </c>
      <c r="H22" s="11">
        <v>33</v>
      </c>
      <c r="I22" s="11">
        <v>36</v>
      </c>
      <c r="J22" s="11">
        <v>80</v>
      </c>
      <c r="K22" s="11">
        <v>77</v>
      </c>
      <c r="L22" s="11">
        <v>54</v>
      </c>
      <c r="M22" s="11">
        <v>56</v>
      </c>
      <c r="N22" s="11">
        <v>59</v>
      </c>
      <c r="O22" s="11">
        <v>36</v>
      </c>
      <c r="P22" s="45">
        <f t="shared" si="0"/>
        <v>496</v>
      </c>
    </row>
    <row r="23" spans="1:16" ht="15.6" x14ac:dyDescent="0.3">
      <c r="A23" s="32">
        <v>20</v>
      </c>
      <c r="B23" s="33">
        <f>'FM-1'!D22</f>
        <v>1019</v>
      </c>
      <c r="C23" s="33" t="str">
        <f>'FM-1'!B22</f>
        <v>7TH</v>
      </c>
      <c r="D23" s="33">
        <f>'FM-1'!C22</f>
        <v>20</v>
      </c>
      <c r="E23" s="34" t="str">
        <f>'FM-1'!E22</f>
        <v>Ali20</v>
      </c>
      <c r="F23" s="35" t="str">
        <f t="shared" si="1"/>
        <v>ANNUAL EXAM 2024</v>
      </c>
      <c r="G23" s="11">
        <v>45</v>
      </c>
      <c r="H23" s="11">
        <v>33</v>
      </c>
      <c r="I23" s="11">
        <v>34</v>
      </c>
      <c r="J23" s="11">
        <v>34</v>
      </c>
      <c r="K23" s="11">
        <v>62</v>
      </c>
      <c r="L23" s="11">
        <v>44</v>
      </c>
      <c r="M23" s="11">
        <v>40</v>
      </c>
      <c r="N23" s="11">
        <v>20</v>
      </c>
      <c r="O23" s="11">
        <v>22</v>
      </c>
      <c r="P23" s="45">
        <f t="shared" si="0"/>
        <v>334</v>
      </c>
    </row>
    <row r="24" spans="1:16" ht="15.6" x14ac:dyDescent="0.3">
      <c r="A24" s="32">
        <v>21</v>
      </c>
      <c r="B24" s="33">
        <f>'FM-1'!D23</f>
        <v>1020</v>
      </c>
      <c r="C24" s="33" t="str">
        <f>'FM-1'!B23</f>
        <v>7TH</v>
      </c>
      <c r="D24" s="33">
        <f>'FM-1'!C23</f>
        <v>21</v>
      </c>
      <c r="E24" s="34" t="str">
        <f>'FM-1'!E23</f>
        <v>Ali21</v>
      </c>
      <c r="F24" s="35" t="str">
        <f t="shared" si="1"/>
        <v>ANNUAL EXAM 2024</v>
      </c>
      <c r="G24" s="11">
        <v>63</v>
      </c>
      <c r="H24" s="11">
        <v>40</v>
      </c>
      <c r="I24" s="11">
        <v>60</v>
      </c>
      <c r="J24" s="11">
        <v>96</v>
      </c>
      <c r="K24" s="11">
        <v>76</v>
      </c>
      <c r="L24" s="11">
        <v>54</v>
      </c>
      <c r="M24" s="11">
        <v>61</v>
      </c>
      <c r="N24" s="11">
        <v>58</v>
      </c>
      <c r="O24" s="11">
        <v>40</v>
      </c>
      <c r="P24" s="45">
        <f t="shared" si="0"/>
        <v>548</v>
      </c>
    </row>
    <row r="25" spans="1:16" ht="15.6" x14ac:dyDescent="0.3">
      <c r="A25" s="32">
        <v>22</v>
      </c>
      <c r="B25" s="33">
        <f>'FM-1'!D24</f>
        <v>1021</v>
      </c>
      <c r="C25" s="33" t="str">
        <f>'FM-1'!B24</f>
        <v>7TH</v>
      </c>
      <c r="D25" s="33">
        <f>'FM-1'!C24</f>
        <v>22</v>
      </c>
      <c r="E25" s="34" t="str">
        <f>'FM-1'!E24</f>
        <v>Ali22</v>
      </c>
      <c r="F25" s="35" t="str">
        <f t="shared" si="1"/>
        <v>ANNUAL EXAM 2024</v>
      </c>
      <c r="G25" s="11">
        <v>72</v>
      </c>
      <c r="H25" s="11">
        <v>65</v>
      </c>
      <c r="I25" s="11">
        <v>56</v>
      </c>
      <c r="J25" s="11">
        <v>96</v>
      </c>
      <c r="K25" s="11">
        <v>94</v>
      </c>
      <c r="L25" s="11">
        <v>98</v>
      </c>
      <c r="M25" s="11">
        <v>81</v>
      </c>
      <c r="N25" s="11">
        <v>52</v>
      </c>
      <c r="O25" s="11">
        <v>40</v>
      </c>
      <c r="P25" s="45">
        <f t="shared" si="0"/>
        <v>654</v>
      </c>
    </row>
    <row r="26" spans="1:16" ht="15.6" x14ac:dyDescent="0.3">
      <c r="A26" s="32">
        <v>23</v>
      </c>
      <c r="B26" s="33">
        <f>'FM-1'!D25</f>
        <v>1022</v>
      </c>
      <c r="C26" s="33" t="str">
        <f>'FM-1'!B25</f>
        <v>7TH</v>
      </c>
      <c r="D26" s="33">
        <f>'FM-1'!C25</f>
        <v>23</v>
      </c>
      <c r="E26" s="34" t="str">
        <f>'FM-1'!E25</f>
        <v>Ali23</v>
      </c>
      <c r="F26" s="35" t="str">
        <f t="shared" si="1"/>
        <v>ANNUAL EXAM 2024</v>
      </c>
      <c r="G26" s="11">
        <v>67</v>
      </c>
      <c r="H26" s="11">
        <v>42</v>
      </c>
      <c r="I26" s="11">
        <v>60</v>
      </c>
      <c r="J26" s="11">
        <v>78</v>
      </c>
      <c r="K26" s="11">
        <v>74</v>
      </c>
      <c r="L26" s="11">
        <v>46</v>
      </c>
      <c r="M26" s="11">
        <v>49</v>
      </c>
      <c r="N26" s="11">
        <v>41</v>
      </c>
      <c r="O26" s="11">
        <v>25</v>
      </c>
      <c r="P26" s="45">
        <f t="shared" si="0"/>
        <v>482</v>
      </c>
    </row>
    <row r="27" spans="1:16" ht="15.6" x14ac:dyDescent="0.3">
      <c r="A27" s="32">
        <v>24</v>
      </c>
      <c r="B27" s="33">
        <f>'FM-1'!D26</f>
        <v>1023</v>
      </c>
      <c r="C27" s="33" t="str">
        <f>'FM-1'!B26</f>
        <v>7TH</v>
      </c>
      <c r="D27" s="33">
        <f>'FM-1'!C26</f>
        <v>24</v>
      </c>
      <c r="E27" s="34" t="str">
        <f>'FM-1'!E26</f>
        <v>Ali24</v>
      </c>
      <c r="F27" s="35" t="str">
        <f t="shared" si="1"/>
        <v>ANNUAL EXAM 2024</v>
      </c>
      <c r="G27" s="11">
        <v>54</v>
      </c>
      <c r="H27" s="11">
        <v>33</v>
      </c>
      <c r="I27" s="11">
        <v>34</v>
      </c>
      <c r="J27" s="11">
        <v>74</v>
      </c>
      <c r="K27" s="11">
        <v>77</v>
      </c>
      <c r="L27" s="11">
        <v>84</v>
      </c>
      <c r="M27" s="11">
        <v>73</v>
      </c>
      <c r="N27" s="11">
        <v>52</v>
      </c>
      <c r="O27" s="11">
        <v>30</v>
      </c>
      <c r="P27" s="45">
        <f t="shared" si="0"/>
        <v>511</v>
      </c>
    </row>
    <row r="28" spans="1:16" ht="15.6" x14ac:dyDescent="0.3">
      <c r="A28" s="32">
        <v>25</v>
      </c>
      <c r="B28" s="33">
        <f>'FM-1'!D27</f>
        <v>1024</v>
      </c>
      <c r="C28" s="33" t="str">
        <f>'FM-1'!B27</f>
        <v>7TH</v>
      </c>
      <c r="D28" s="33">
        <f>'FM-1'!C27</f>
        <v>25</v>
      </c>
      <c r="E28" s="34" t="str">
        <f>'FM-1'!E27</f>
        <v>Ali25</v>
      </c>
      <c r="F28" s="35" t="str">
        <f t="shared" si="1"/>
        <v>ANNUAL EXAM 2024</v>
      </c>
      <c r="G28" s="11">
        <v>70</v>
      </c>
      <c r="H28" s="11">
        <v>62</v>
      </c>
      <c r="I28" s="11">
        <v>60</v>
      </c>
      <c r="J28" s="11">
        <v>95</v>
      </c>
      <c r="K28" s="11">
        <v>94</v>
      </c>
      <c r="L28" s="11">
        <v>88</v>
      </c>
      <c r="M28" s="11">
        <v>94</v>
      </c>
      <c r="N28" s="11">
        <v>60</v>
      </c>
      <c r="O28" s="11">
        <v>40</v>
      </c>
      <c r="P28" s="45">
        <f t="shared" si="0"/>
        <v>663</v>
      </c>
    </row>
    <row r="29" spans="1:16" ht="15.6" x14ac:dyDescent="0.3">
      <c r="A29" s="32">
        <v>26</v>
      </c>
      <c r="B29" s="33">
        <f>'FM-1'!D28</f>
        <v>1025</v>
      </c>
      <c r="C29" s="33" t="str">
        <f>'FM-1'!B28</f>
        <v>7TH</v>
      </c>
      <c r="D29" s="33">
        <f>'FM-1'!C28</f>
        <v>26</v>
      </c>
      <c r="E29" s="34" t="str">
        <f>'FM-1'!E28</f>
        <v>Ali26</v>
      </c>
      <c r="F29" s="35" t="str">
        <f t="shared" si="1"/>
        <v>ANNUAL EXAM 2024</v>
      </c>
      <c r="G29" s="11">
        <v>64</v>
      </c>
      <c r="H29" s="11">
        <v>44</v>
      </c>
      <c r="I29" s="11">
        <v>40</v>
      </c>
      <c r="J29" s="11">
        <v>70</v>
      </c>
      <c r="K29" s="11">
        <v>73</v>
      </c>
      <c r="L29" s="11">
        <v>66</v>
      </c>
      <c r="M29" s="11">
        <v>75</v>
      </c>
      <c r="N29" s="11">
        <v>45</v>
      </c>
      <c r="O29" s="11">
        <v>32</v>
      </c>
      <c r="P29" s="45">
        <f t="shared" si="0"/>
        <v>509</v>
      </c>
    </row>
    <row r="30" spans="1:16" ht="15.6" x14ac:dyDescent="0.3">
      <c r="A30" s="32">
        <v>27</v>
      </c>
      <c r="B30" s="33">
        <f>'FM-1'!D29</f>
        <v>1026</v>
      </c>
      <c r="C30" s="33" t="str">
        <f>'FM-1'!B29</f>
        <v>7TH</v>
      </c>
      <c r="D30" s="33">
        <f>'FM-1'!C29</f>
        <v>27</v>
      </c>
      <c r="E30" s="34" t="str">
        <f>'FM-1'!E29</f>
        <v>Ali27</v>
      </c>
      <c r="F30" s="35" t="str">
        <f t="shared" si="1"/>
        <v>ANNUAL EXAM 2024</v>
      </c>
      <c r="G30" s="11">
        <v>70</v>
      </c>
      <c r="H30" s="11">
        <v>74</v>
      </c>
      <c r="I30" s="11">
        <v>64</v>
      </c>
      <c r="J30" s="11">
        <v>96</v>
      </c>
      <c r="K30" s="11">
        <v>92</v>
      </c>
      <c r="L30" s="11">
        <v>85</v>
      </c>
      <c r="M30" s="11">
        <v>93</v>
      </c>
      <c r="N30" s="11">
        <v>59</v>
      </c>
      <c r="O30" s="11">
        <v>40</v>
      </c>
      <c r="P30" s="45">
        <f t="shared" si="0"/>
        <v>673</v>
      </c>
    </row>
    <row r="31" spans="1:16" ht="15.6" x14ac:dyDescent="0.3">
      <c r="A31" s="32">
        <v>28</v>
      </c>
      <c r="B31" s="33">
        <f>'FM-1'!D30</f>
        <v>1027</v>
      </c>
      <c r="C31" s="33" t="str">
        <f>'FM-1'!B30</f>
        <v>7TH</v>
      </c>
      <c r="D31" s="33">
        <f>'FM-1'!C30</f>
        <v>28</v>
      </c>
      <c r="E31" s="34" t="str">
        <f>'FM-1'!E30</f>
        <v>Ali28</v>
      </c>
      <c r="F31" s="35" t="str">
        <f t="shared" si="1"/>
        <v>ANNUAL EXAM 2024</v>
      </c>
      <c r="G31" s="11">
        <v>68</v>
      </c>
      <c r="H31" s="11">
        <v>33</v>
      </c>
      <c r="I31" s="11">
        <v>60</v>
      </c>
      <c r="J31" s="11">
        <v>60</v>
      </c>
      <c r="K31" s="11">
        <v>75</v>
      </c>
      <c r="L31" s="11">
        <v>90</v>
      </c>
      <c r="M31" s="11">
        <v>46</v>
      </c>
      <c r="N31" s="11">
        <v>28</v>
      </c>
      <c r="O31" s="11">
        <v>30</v>
      </c>
      <c r="P31" s="45">
        <f t="shared" si="0"/>
        <v>490</v>
      </c>
    </row>
    <row r="32" spans="1:16" ht="15.6" x14ac:dyDescent="0.3">
      <c r="A32" s="32">
        <v>29</v>
      </c>
      <c r="B32" s="33">
        <f>'FM-1'!D31</f>
        <v>1028</v>
      </c>
      <c r="C32" s="33" t="str">
        <f>'FM-1'!B31</f>
        <v>7TH</v>
      </c>
      <c r="D32" s="33">
        <f>'FM-1'!C31</f>
        <v>29</v>
      </c>
      <c r="E32" s="34" t="str">
        <f>'FM-1'!E31</f>
        <v>Ali29</v>
      </c>
      <c r="F32" s="35" t="str">
        <f t="shared" si="1"/>
        <v>ANNUAL EXAM 2024</v>
      </c>
      <c r="G32" s="11">
        <v>69</v>
      </c>
      <c r="H32" s="11">
        <v>61</v>
      </c>
      <c r="I32" s="11">
        <v>50</v>
      </c>
      <c r="J32" s="11">
        <v>84</v>
      </c>
      <c r="K32" s="12">
        <v>75</v>
      </c>
      <c r="L32" s="11">
        <v>52</v>
      </c>
      <c r="M32" s="11">
        <v>41</v>
      </c>
      <c r="N32" s="12">
        <v>45</v>
      </c>
      <c r="O32" s="11">
        <v>28</v>
      </c>
      <c r="P32" s="45">
        <f t="shared" si="0"/>
        <v>505</v>
      </c>
    </row>
    <row r="33" spans="1:16" ht="15.6" x14ac:dyDescent="0.3">
      <c r="A33" s="32">
        <v>30</v>
      </c>
      <c r="B33" s="33">
        <f>'FM-1'!D32</f>
        <v>1029</v>
      </c>
      <c r="C33" s="33" t="str">
        <f>'FM-1'!B32</f>
        <v>7TH</v>
      </c>
      <c r="D33" s="33">
        <f>'FM-1'!C32</f>
        <v>30</v>
      </c>
      <c r="E33" s="34" t="str">
        <f>'FM-1'!E32</f>
        <v>Ali30</v>
      </c>
      <c r="F33" s="35" t="str">
        <f t="shared" si="1"/>
        <v>ANNUAL EXAM 2024</v>
      </c>
      <c r="G33" s="11">
        <v>55</v>
      </c>
      <c r="H33" s="11">
        <v>33</v>
      </c>
      <c r="I33" s="11">
        <v>36</v>
      </c>
      <c r="J33" s="11">
        <v>52</v>
      </c>
      <c r="K33" s="11">
        <v>69</v>
      </c>
      <c r="L33" s="11">
        <v>44</v>
      </c>
      <c r="M33" s="11">
        <v>54</v>
      </c>
      <c r="N33" s="11">
        <v>31</v>
      </c>
      <c r="O33" s="11">
        <v>27</v>
      </c>
      <c r="P33" s="45">
        <f t="shared" si="0"/>
        <v>401</v>
      </c>
    </row>
    <row r="34" spans="1:16" ht="15.6" x14ac:dyDescent="0.3">
      <c r="A34" s="32">
        <v>31</v>
      </c>
      <c r="B34" s="33">
        <f>'FM-1'!D33</f>
        <v>1030</v>
      </c>
      <c r="C34" s="33" t="str">
        <f>'FM-1'!B33</f>
        <v>7TH</v>
      </c>
      <c r="D34" s="33">
        <f>'FM-1'!C33</f>
        <v>31</v>
      </c>
      <c r="E34" s="34" t="str">
        <f>'FM-1'!E33</f>
        <v>Ali31</v>
      </c>
      <c r="F34" s="35" t="str">
        <f t="shared" si="1"/>
        <v>ANNUAL EXAM 2024</v>
      </c>
      <c r="G34" s="11">
        <v>69</v>
      </c>
      <c r="H34" s="11">
        <v>40</v>
      </c>
      <c r="I34" s="11">
        <v>60</v>
      </c>
      <c r="J34" s="11">
        <v>77</v>
      </c>
      <c r="K34" s="11">
        <v>72</v>
      </c>
      <c r="L34" s="11">
        <v>40</v>
      </c>
      <c r="M34" s="11">
        <v>75</v>
      </c>
      <c r="N34" s="11">
        <v>44</v>
      </c>
      <c r="O34" s="11">
        <v>25</v>
      </c>
      <c r="P34" s="45">
        <f t="shared" si="0"/>
        <v>502</v>
      </c>
    </row>
    <row r="35" spans="1:16" ht="15.6" x14ac:dyDescent="0.3">
      <c r="A35" s="32">
        <v>32</v>
      </c>
      <c r="B35" s="33">
        <f>'FM-1'!D34</f>
        <v>1031</v>
      </c>
      <c r="C35" s="33" t="str">
        <f>'FM-1'!B34</f>
        <v>7TH</v>
      </c>
      <c r="D35" s="33">
        <f>'FM-1'!C34</f>
        <v>32</v>
      </c>
      <c r="E35" s="34" t="str">
        <f>'FM-1'!E34</f>
        <v>Ali32</v>
      </c>
      <c r="F35" s="35" t="str">
        <f t="shared" si="1"/>
        <v>ANNUAL EXAM 2024</v>
      </c>
      <c r="G35" s="11">
        <v>65</v>
      </c>
      <c r="H35" s="11">
        <v>33</v>
      </c>
      <c r="I35" s="11">
        <v>50</v>
      </c>
      <c r="J35" s="11">
        <v>36</v>
      </c>
      <c r="K35" s="11">
        <v>61</v>
      </c>
      <c r="L35" s="11">
        <v>58</v>
      </c>
      <c r="M35" s="11">
        <v>44</v>
      </c>
      <c r="N35" s="11">
        <v>38</v>
      </c>
      <c r="O35" s="11">
        <v>22</v>
      </c>
      <c r="P35" s="45">
        <f t="shared" si="0"/>
        <v>407</v>
      </c>
    </row>
    <row r="36" spans="1:16" ht="15.6" x14ac:dyDescent="0.3">
      <c r="A36" s="32">
        <v>33</v>
      </c>
      <c r="B36" s="33">
        <f>'FM-1'!D35</f>
        <v>1032</v>
      </c>
      <c r="C36" s="33" t="str">
        <f>'FM-1'!B35</f>
        <v>7TH</v>
      </c>
      <c r="D36" s="33">
        <f>'FM-1'!C35</f>
        <v>33</v>
      </c>
      <c r="E36" s="34" t="str">
        <f>'FM-1'!E35</f>
        <v>Ali33</v>
      </c>
      <c r="F36" s="35" t="str">
        <f t="shared" si="1"/>
        <v>ANNUAL EXAM 2024</v>
      </c>
      <c r="G36" s="11">
        <v>62</v>
      </c>
      <c r="H36" s="11">
        <v>33</v>
      </c>
      <c r="I36" s="11">
        <v>50</v>
      </c>
      <c r="J36" s="11">
        <v>69</v>
      </c>
      <c r="K36" s="11">
        <v>78</v>
      </c>
      <c r="L36" s="11">
        <v>58</v>
      </c>
      <c r="M36" s="11">
        <v>60</v>
      </c>
      <c r="N36" s="11">
        <v>46</v>
      </c>
      <c r="O36" s="11">
        <v>28</v>
      </c>
      <c r="P36" s="45">
        <f t="shared" si="0"/>
        <v>484</v>
      </c>
    </row>
    <row r="37" spans="1:16" ht="16.2" thickBot="1" x14ac:dyDescent="0.35">
      <c r="A37" s="32">
        <v>34</v>
      </c>
      <c r="B37" s="33">
        <f>'FM-1'!D36</f>
        <v>1033</v>
      </c>
      <c r="C37" s="33" t="str">
        <f>'FM-1'!B36</f>
        <v>7TH</v>
      </c>
      <c r="D37" s="33">
        <f>'FM-1'!C36</f>
        <v>34</v>
      </c>
      <c r="E37" s="34" t="str">
        <f>'FM-1'!E36</f>
        <v>Ali34</v>
      </c>
      <c r="F37" s="35" t="str">
        <f t="shared" si="1"/>
        <v>ANNUAL EXAM 2024</v>
      </c>
      <c r="G37" s="11">
        <v>72</v>
      </c>
      <c r="H37" s="11">
        <v>58</v>
      </c>
      <c r="I37" s="11">
        <v>76</v>
      </c>
      <c r="J37" s="11">
        <v>95</v>
      </c>
      <c r="K37" s="11">
        <v>84</v>
      </c>
      <c r="L37" s="11">
        <v>90</v>
      </c>
      <c r="M37" s="11">
        <v>61</v>
      </c>
      <c r="N37" s="11">
        <v>57</v>
      </c>
      <c r="O37" s="11">
        <v>40</v>
      </c>
      <c r="P37" s="45">
        <f t="shared" si="0"/>
        <v>633</v>
      </c>
    </row>
    <row r="38" spans="1:16" x14ac:dyDescent="0.3">
      <c r="A38" s="32">
        <v>35</v>
      </c>
      <c r="B38" s="33" t="e">
        <f>'FM-1'!#REF!</f>
        <v>#REF!</v>
      </c>
      <c r="C38" s="33" t="e">
        <f>'FM-1'!#REF!</f>
        <v>#REF!</v>
      </c>
      <c r="F38" s="13" t="s">
        <v>39</v>
      </c>
      <c r="G38" s="14">
        <f t="shared" ref="G38:P38" si="2">SUMIF(G$4:G$37,"&gt;-1")</f>
        <v>2128</v>
      </c>
      <c r="H38" s="14">
        <f t="shared" si="2"/>
        <v>1471</v>
      </c>
      <c r="I38" s="14">
        <f t="shared" si="2"/>
        <v>1642</v>
      </c>
      <c r="J38" s="14">
        <f t="shared" si="2"/>
        <v>2415</v>
      </c>
      <c r="K38" s="14">
        <f t="shared" si="2"/>
        <v>2578</v>
      </c>
      <c r="L38" s="14">
        <f t="shared" si="2"/>
        <v>2077</v>
      </c>
      <c r="M38" s="14">
        <f t="shared" si="2"/>
        <v>1965</v>
      </c>
      <c r="N38" s="14">
        <f t="shared" si="2"/>
        <v>1460</v>
      </c>
      <c r="O38" s="14">
        <f t="shared" si="2"/>
        <v>1035</v>
      </c>
      <c r="P38" s="14">
        <f t="shared" si="2"/>
        <v>16771</v>
      </c>
    </row>
    <row r="39" spans="1:16" x14ac:dyDescent="0.3">
      <c r="A39" s="32">
        <v>36</v>
      </c>
      <c r="B39" s="33" t="e">
        <f>'FM-1'!#REF!</f>
        <v>#REF!</v>
      </c>
      <c r="C39" s="33" t="e">
        <f>'FM-1'!#REF!</f>
        <v>#REF!</v>
      </c>
      <c r="F39" s="9" t="s">
        <v>212</v>
      </c>
      <c r="G39" s="15">
        <f>COUNTIF($D$4:$D37,"&gt;0")</f>
        <v>34</v>
      </c>
      <c r="H39" s="15">
        <f>COUNTIF($D$4:$D37,"&gt;0")</f>
        <v>34</v>
      </c>
      <c r="I39" s="15">
        <f>COUNTIF($D$4:$D37,"&gt;0")</f>
        <v>34</v>
      </c>
      <c r="J39" s="15">
        <f>COUNTIF($D$4:$D37,"&gt;0")</f>
        <v>34</v>
      </c>
      <c r="K39" s="15">
        <f>COUNTIF($D$4:$D37,"&gt;0")</f>
        <v>34</v>
      </c>
      <c r="L39" s="15">
        <f>COUNTIF($D$4:$D37,"&gt;0")</f>
        <v>34</v>
      </c>
      <c r="M39" s="15">
        <f>COUNTIF($D$4:$D37,"&gt;0")</f>
        <v>34</v>
      </c>
      <c r="N39" s="15">
        <f>COUNTIF($D$4:$D37,"&gt;0")</f>
        <v>34</v>
      </c>
      <c r="O39" s="15">
        <f>COUNTIF($D$4:$D37,"&gt;0")</f>
        <v>34</v>
      </c>
      <c r="P39" s="15">
        <f>COUNTIF($D$4:$D37,"&gt;0")</f>
        <v>34</v>
      </c>
    </row>
    <row r="40" spans="1:16" ht="15" thickBot="1" x14ac:dyDescent="0.35">
      <c r="A40" s="32">
        <v>37</v>
      </c>
      <c r="B40" s="33" t="e">
        <f>'FM-1'!#REF!</f>
        <v>#REF!</v>
      </c>
      <c r="C40" s="33" t="e">
        <f>'FM-1'!#REF!</f>
        <v>#REF!</v>
      </c>
      <c r="F40" s="16" t="s">
        <v>40</v>
      </c>
      <c r="G40" s="66">
        <f>ROUND(G38/G39,2)</f>
        <v>62.59</v>
      </c>
      <c r="H40" s="66">
        <f t="shared" ref="H40:P40" si="3">ROUND(H38/H39,2)</f>
        <v>43.26</v>
      </c>
      <c r="I40" s="66">
        <f t="shared" si="3"/>
        <v>48.29</v>
      </c>
      <c r="J40" s="66">
        <f t="shared" si="3"/>
        <v>71.03</v>
      </c>
      <c r="K40" s="66">
        <f t="shared" si="3"/>
        <v>75.819999999999993</v>
      </c>
      <c r="L40" s="66">
        <f t="shared" si="3"/>
        <v>61.09</v>
      </c>
      <c r="M40" s="66">
        <f t="shared" si="3"/>
        <v>57.79</v>
      </c>
      <c r="N40" s="66">
        <f t="shared" si="3"/>
        <v>42.94</v>
      </c>
      <c r="O40" s="66">
        <f t="shared" si="3"/>
        <v>30.44</v>
      </c>
      <c r="P40" s="66">
        <f t="shared" si="3"/>
        <v>493.26</v>
      </c>
    </row>
    <row r="41" spans="1:16" x14ac:dyDescent="0.3">
      <c r="A41" s="32">
        <v>38</v>
      </c>
      <c r="B41" s="33" t="e">
        <f>'FM-1'!#REF!</f>
        <v>#REF!</v>
      </c>
      <c r="C41" s="33" t="e">
        <f>'FM-1'!#REF!</f>
        <v>#REF!</v>
      </c>
    </row>
    <row r="42" spans="1:16" x14ac:dyDescent="0.3">
      <c r="A42" s="32">
        <v>39</v>
      </c>
      <c r="B42" s="33" t="e">
        <f>'FM-1'!#REF!</f>
        <v>#REF!</v>
      </c>
      <c r="C42" s="33" t="e">
        <f>'FM-1'!#REF!</f>
        <v>#REF!</v>
      </c>
    </row>
    <row r="43" spans="1:16" x14ac:dyDescent="0.3">
      <c r="A43" s="32">
        <v>40</v>
      </c>
      <c r="B43" s="33" t="e">
        <f>'FM-1'!#REF!</f>
        <v>#REF!</v>
      </c>
      <c r="C43" s="33" t="e">
        <f>'FM-1'!#REF!</f>
        <v>#REF!</v>
      </c>
    </row>
    <row r="44" spans="1:16" x14ac:dyDescent="0.3">
      <c r="A44" s="32">
        <v>41</v>
      </c>
      <c r="B44" s="33" t="e">
        <f>'FM-1'!#REF!</f>
        <v>#REF!</v>
      </c>
      <c r="C44" s="33" t="e">
        <f>'FM-1'!#REF!</f>
        <v>#REF!</v>
      </c>
    </row>
    <row r="45" spans="1:16" x14ac:dyDescent="0.3">
      <c r="A45" s="32">
        <v>42</v>
      </c>
      <c r="B45" s="33" t="e">
        <f>'FM-1'!#REF!</f>
        <v>#REF!</v>
      </c>
      <c r="C45" s="33" t="e">
        <f>'FM-1'!#REF!</f>
        <v>#REF!</v>
      </c>
    </row>
    <row r="46" spans="1:16" x14ac:dyDescent="0.3">
      <c r="A46" s="32">
        <v>43</v>
      </c>
      <c r="B46" s="33" t="e">
        <f>'FM-1'!#REF!</f>
        <v>#REF!</v>
      </c>
      <c r="C46" s="33" t="e">
        <f>'FM-1'!#REF!</f>
        <v>#REF!</v>
      </c>
    </row>
    <row r="47" spans="1:16" x14ac:dyDescent="0.3">
      <c r="A47" s="32">
        <v>44</v>
      </c>
      <c r="B47" s="33" t="e">
        <f>'FM-1'!#REF!</f>
        <v>#REF!</v>
      </c>
      <c r="C47" s="33" t="e">
        <f>'FM-1'!#REF!</f>
        <v>#REF!</v>
      </c>
    </row>
    <row r="48" spans="1:16" x14ac:dyDescent="0.3">
      <c r="A48" s="32">
        <v>45</v>
      </c>
      <c r="B48" s="33" t="e">
        <f>'FM-1'!#REF!</f>
        <v>#REF!</v>
      </c>
      <c r="C48" s="33" t="e">
        <f>'FM-1'!#REF!</f>
        <v>#REF!</v>
      </c>
    </row>
    <row r="49" spans="1:3" x14ac:dyDescent="0.3">
      <c r="A49" s="32">
        <v>46</v>
      </c>
      <c r="B49" s="33" t="e">
        <f>'FM-1'!#REF!</f>
        <v>#REF!</v>
      </c>
      <c r="C49" s="33" t="e">
        <f>'FM-1'!#REF!</f>
        <v>#REF!</v>
      </c>
    </row>
    <row r="50" spans="1:3" x14ac:dyDescent="0.3">
      <c r="A50" s="32">
        <v>47</v>
      </c>
      <c r="B50" s="33" t="e">
        <f>'FM-1'!#REF!</f>
        <v>#REF!</v>
      </c>
      <c r="C50" s="33" t="e">
        <f>'FM-1'!#REF!</f>
        <v>#REF!</v>
      </c>
    </row>
    <row r="51" spans="1:3" x14ac:dyDescent="0.3">
      <c r="A51" s="32">
        <v>48</v>
      </c>
      <c r="B51" s="33" t="e">
        <f>'FM-1'!#REF!</f>
        <v>#REF!</v>
      </c>
      <c r="C51" s="33" t="e">
        <f>'FM-1'!#REF!</f>
        <v>#REF!</v>
      </c>
    </row>
    <row r="52" spans="1:3" x14ac:dyDescent="0.3">
      <c r="A52" s="32">
        <v>49</v>
      </c>
      <c r="B52" s="33" t="e">
        <f>'FM-1'!#REF!</f>
        <v>#REF!</v>
      </c>
      <c r="C52" s="33" t="e">
        <f>'FM-1'!#REF!</f>
        <v>#REF!</v>
      </c>
    </row>
    <row r="53" spans="1:3" x14ac:dyDescent="0.3">
      <c r="A53" s="32">
        <v>50</v>
      </c>
      <c r="B53" s="33" t="e">
        <f>'FM-1'!#REF!</f>
        <v>#REF!</v>
      </c>
      <c r="C53" s="33" t="e">
        <f>'FM-1'!#REF!</f>
        <v>#REF!</v>
      </c>
    </row>
    <row r="54" spans="1:3" x14ac:dyDescent="0.3">
      <c r="A54" s="32">
        <v>51</v>
      </c>
      <c r="B54" s="33" t="e">
        <f>'FM-1'!#REF!</f>
        <v>#REF!</v>
      </c>
      <c r="C54" s="33" t="e">
        <f>'FM-1'!#REF!</f>
        <v>#REF!</v>
      </c>
    </row>
    <row r="55" spans="1:3" x14ac:dyDescent="0.3">
      <c r="A55" s="32">
        <v>52</v>
      </c>
      <c r="B55" s="33" t="e">
        <f>'FM-1'!#REF!</f>
        <v>#REF!</v>
      </c>
      <c r="C55" s="33" t="e">
        <f>'FM-1'!#REF!</f>
        <v>#REF!</v>
      </c>
    </row>
    <row r="56" spans="1:3" x14ac:dyDescent="0.3">
      <c r="A56" s="32">
        <v>53</v>
      </c>
      <c r="B56" s="33" t="e">
        <f>'FM-1'!#REF!</f>
        <v>#REF!</v>
      </c>
      <c r="C56" s="33" t="e">
        <f>'FM-1'!#REF!</f>
        <v>#REF!</v>
      </c>
    </row>
    <row r="57" spans="1:3" x14ac:dyDescent="0.3">
      <c r="A57" s="32">
        <v>54</v>
      </c>
      <c r="B57" s="33" t="e">
        <f>'FM-1'!#REF!</f>
        <v>#REF!</v>
      </c>
      <c r="C57" s="33" t="e">
        <f>'FM-1'!#REF!</f>
        <v>#REF!</v>
      </c>
    </row>
    <row r="58" spans="1:3" x14ac:dyDescent="0.3">
      <c r="A58" s="32">
        <v>55</v>
      </c>
      <c r="B58" s="33" t="e">
        <f>'FM-1'!#REF!</f>
        <v>#REF!</v>
      </c>
      <c r="C58" s="33" t="e">
        <f>'FM-1'!#REF!</f>
        <v>#REF!</v>
      </c>
    </row>
    <row r="59" spans="1:3" x14ac:dyDescent="0.3">
      <c r="A59" s="32">
        <v>56</v>
      </c>
      <c r="B59" s="33" t="e">
        <f>'FM-1'!#REF!</f>
        <v>#REF!</v>
      </c>
      <c r="C59" s="33" t="e">
        <f>'FM-1'!#REF!</f>
        <v>#REF!</v>
      </c>
    </row>
    <row r="60" spans="1:3" x14ac:dyDescent="0.3">
      <c r="A60" s="32">
        <v>57</v>
      </c>
      <c r="B60" s="33" t="e">
        <f>'FM-1'!#REF!</f>
        <v>#REF!</v>
      </c>
      <c r="C60" s="33" t="e">
        <f>'FM-1'!#REF!</f>
        <v>#REF!</v>
      </c>
    </row>
    <row r="61" spans="1:3" x14ac:dyDescent="0.3">
      <c r="A61" s="32">
        <v>58</v>
      </c>
      <c r="B61" s="33" t="e">
        <f>'FM-1'!#REF!</f>
        <v>#REF!</v>
      </c>
      <c r="C61" s="33" t="e">
        <f>'FM-1'!#REF!</f>
        <v>#REF!</v>
      </c>
    </row>
    <row r="62" spans="1:3" x14ac:dyDescent="0.3">
      <c r="A62" s="32">
        <v>59</v>
      </c>
      <c r="B62" s="33" t="e">
        <f>'FM-1'!#REF!</f>
        <v>#REF!</v>
      </c>
      <c r="C62" s="33" t="e">
        <f>'FM-1'!#REF!</f>
        <v>#REF!</v>
      </c>
    </row>
    <row r="63" spans="1:3" x14ac:dyDescent="0.3">
      <c r="A63" s="32">
        <v>60</v>
      </c>
      <c r="B63" s="33" t="e">
        <f>'FM-1'!#REF!</f>
        <v>#REF!</v>
      </c>
      <c r="C63" s="33" t="e">
        <f>'FM-1'!#REF!</f>
        <v>#REF!</v>
      </c>
    </row>
  </sheetData>
  <protectedRanges>
    <protectedRange algorithmName="SHA-512" hashValue="OOod6WZXKPg8CRJ8/5uJfY8QO+ScauJQVvo5wM/yR/wPUDjBluF3OUy0Rl9D6Pp0OkORHAEnskQiIFi6kmP+PQ==" saltValue="nl0UGmOtfCdsEORg5w22fg==" spinCount="100000" sqref="P1:P1048576" name="Total column"/>
  </protectedRanges>
  <mergeCells count="2">
    <mergeCell ref="A1:E1"/>
    <mergeCell ref="F1:P1"/>
  </mergeCells>
  <dataValidations count="1">
    <dataValidation type="whole" allowBlank="1" showInputMessage="1" showErrorMessage="1" sqref="G4:O37" xr:uid="{2EDCDC82-17CD-4B7F-B128-F69E0881A431}">
      <formula1>0</formula1>
      <formula2>G$3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8611-F209-498C-858B-428E97097014}">
  <sheetPr codeName="Sheet6"/>
  <dimension ref="A1:I36"/>
  <sheetViews>
    <sheetView workbookViewId="0">
      <selection activeCell="B9" sqref="B9"/>
    </sheetView>
  </sheetViews>
  <sheetFormatPr defaultColWidth="22" defaultRowHeight="14.4" x14ac:dyDescent="0.3"/>
  <sheetData>
    <row r="1" spans="1:9" ht="25.8" x14ac:dyDescent="0.5">
      <c r="A1" s="26" t="s">
        <v>132</v>
      </c>
      <c r="B1" s="26"/>
      <c r="C1" s="26"/>
      <c r="D1" s="26"/>
      <c r="E1" s="26"/>
      <c r="F1" s="26"/>
      <c r="G1" s="26"/>
      <c r="H1" s="26"/>
      <c r="I1" s="27"/>
    </row>
    <row r="2" spans="1:9" ht="18" x14ac:dyDescent="0.35">
      <c r="A2" s="3" t="s">
        <v>22</v>
      </c>
      <c r="B2" s="3" t="s">
        <v>23</v>
      </c>
      <c r="C2" s="4" t="s">
        <v>17</v>
      </c>
      <c r="D2" s="3" t="s">
        <v>2</v>
      </c>
      <c r="E2" s="3" t="s">
        <v>24</v>
      </c>
      <c r="F2" s="3" t="s">
        <v>25</v>
      </c>
      <c r="G2" s="3" t="s">
        <v>26</v>
      </c>
      <c r="H2" s="3" t="s">
        <v>27</v>
      </c>
      <c r="I2" s="5" t="s">
        <v>28</v>
      </c>
    </row>
    <row r="3" spans="1:9" x14ac:dyDescent="0.3">
      <c r="A3" s="15">
        <v>1</v>
      </c>
      <c r="B3" s="17" t="str">
        <f>'Students Attendance'!$H$2</f>
        <v>7TH</v>
      </c>
      <c r="C3" s="17">
        <f>'Students Attendance'!B6</f>
        <v>1</v>
      </c>
      <c r="D3" s="17">
        <f>'Students Attendance'!C6</f>
        <v>1000</v>
      </c>
      <c r="E3" s="17" t="str">
        <f>'Students Attendance'!D6</f>
        <v>Ali1</v>
      </c>
      <c r="F3" s="17" t="str">
        <f>'Students Attendance'!F6</f>
        <v>Khan 1</v>
      </c>
      <c r="G3" s="17">
        <f>'Students Attendance'!H6</f>
        <v>3005326707</v>
      </c>
      <c r="H3" s="17">
        <f>'Students Attendance'!I6</f>
        <v>0</v>
      </c>
      <c r="I3" s="17" t="str">
        <f xml:space="preserve"> 'Students Attendance'!$F$1</f>
        <v>APS Hazro</v>
      </c>
    </row>
    <row r="4" spans="1:9" x14ac:dyDescent="0.3">
      <c r="A4" s="15">
        <v>2</v>
      </c>
      <c r="B4" s="17" t="str">
        <f>'Students Attendance'!$H$2</f>
        <v>7TH</v>
      </c>
      <c r="C4" s="17">
        <f>'Students Attendance'!B7</f>
        <v>2</v>
      </c>
      <c r="D4" s="17">
        <f>'Students Attendance'!C7</f>
        <v>1001</v>
      </c>
      <c r="E4" s="17" t="str">
        <f>'Students Attendance'!D7</f>
        <v>Ali2</v>
      </c>
      <c r="F4" s="17" t="str">
        <f>'Students Attendance'!F7</f>
        <v>khan2</v>
      </c>
      <c r="G4" s="17">
        <f>'Students Attendance'!H7</f>
        <v>3005326748</v>
      </c>
      <c r="H4" s="17">
        <f>'Students Attendance'!I7</f>
        <v>0</v>
      </c>
      <c r="I4" s="17" t="str">
        <f xml:space="preserve"> 'Students Attendance'!$F$1</f>
        <v>APS Hazro</v>
      </c>
    </row>
    <row r="5" spans="1:9" x14ac:dyDescent="0.3">
      <c r="A5" s="15">
        <v>3</v>
      </c>
      <c r="B5" s="17" t="str">
        <f>'Students Attendance'!$H$2</f>
        <v>7TH</v>
      </c>
      <c r="C5" s="17">
        <f>'Students Attendance'!B8</f>
        <v>3</v>
      </c>
      <c r="D5" s="17">
        <f>'Students Attendance'!C8</f>
        <v>1002</v>
      </c>
      <c r="E5" s="17" t="str">
        <f>'Students Attendance'!D8</f>
        <v>Ali3</v>
      </c>
      <c r="F5" s="17" t="str">
        <f>'Students Attendance'!F8</f>
        <v>khan3</v>
      </c>
      <c r="G5" s="17">
        <f>'Students Attendance'!H8</f>
        <v>3005326789</v>
      </c>
      <c r="H5" s="17">
        <f>'Students Attendance'!I8</f>
        <v>0</v>
      </c>
      <c r="I5" s="17" t="str">
        <f xml:space="preserve"> 'Students Attendance'!$F$1</f>
        <v>APS Hazro</v>
      </c>
    </row>
    <row r="6" spans="1:9" x14ac:dyDescent="0.3">
      <c r="A6" s="15">
        <v>4</v>
      </c>
      <c r="B6" s="17" t="str">
        <f>'Students Attendance'!$H$2</f>
        <v>7TH</v>
      </c>
      <c r="C6" s="17">
        <f>'Students Attendance'!B9</f>
        <v>4</v>
      </c>
      <c r="D6" s="17">
        <f>'Students Attendance'!C9</f>
        <v>1003</v>
      </c>
      <c r="E6" s="17" t="str">
        <f>'Students Attendance'!D9</f>
        <v>Ali4</v>
      </c>
      <c r="F6" s="17" t="str">
        <f>'Students Attendance'!F9</f>
        <v>Khan 4</v>
      </c>
      <c r="G6" s="17">
        <f>'Students Attendance'!H9</f>
        <v>3005326830</v>
      </c>
      <c r="H6" s="17">
        <f>'Students Attendance'!I9</f>
        <v>0</v>
      </c>
      <c r="I6" s="17" t="str">
        <f xml:space="preserve"> 'Students Attendance'!$F$1</f>
        <v>APS Hazro</v>
      </c>
    </row>
    <row r="7" spans="1:9" x14ac:dyDescent="0.3">
      <c r="A7" s="15">
        <v>5</v>
      </c>
      <c r="B7" s="17" t="str">
        <f>'Students Attendance'!$H$2</f>
        <v>7TH</v>
      </c>
      <c r="C7" s="17">
        <f>'Students Attendance'!B10</f>
        <v>5</v>
      </c>
      <c r="D7" s="17">
        <f>'Students Attendance'!C10</f>
        <v>1004</v>
      </c>
      <c r="E7" s="17" t="str">
        <f>'Students Attendance'!D10</f>
        <v>Ali5</v>
      </c>
      <c r="F7" s="17" t="str">
        <f>'Students Attendance'!F10</f>
        <v>Khan 5</v>
      </c>
      <c r="G7" s="17">
        <f>'Students Attendance'!H10</f>
        <v>3005326871</v>
      </c>
      <c r="H7" s="17">
        <f>'Students Attendance'!I10</f>
        <v>0</v>
      </c>
      <c r="I7" s="17" t="str">
        <f xml:space="preserve"> 'Students Attendance'!$F$1</f>
        <v>APS Hazro</v>
      </c>
    </row>
    <row r="8" spans="1:9" x14ac:dyDescent="0.3">
      <c r="A8" s="15">
        <v>6</v>
      </c>
      <c r="B8" s="17" t="str">
        <f>'Students Attendance'!$H$2</f>
        <v>7TH</v>
      </c>
      <c r="C8" s="17">
        <f>'Students Attendance'!B11</f>
        <v>6</v>
      </c>
      <c r="D8" s="17">
        <f>'Students Attendance'!C11</f>
        <v>1005</v>
      </c>
      <c r="E8" s="17" t="str">
        <f>'Students Attendance'!D11</f>
        <v>Ali6</v>
      </c>
      <c r="F8" s="17" t="str">
        <f>'Students Attendance'!F11</f>
        <v>Khan 6</v>
      </c>
      <c r="G8" s="17">
        <f>'Students Attendance'!H11</f>
        <v>3005326912</v>
      </c>
      <c r="H8" s="17">
        <f>'Students Attendance'!I11</f>
        <v>0</v>
      </c>
      <c r="I8" s="17" t="str">
        <f xml:space="preserve"> 'Students Attendance'!$F$1</f>
        <v>APS Hazro</v>
      </c>
    </row>
    <row r="9" spans="1:9" x14ac:dyDescent="0.3">
      <c r="A9" s="15">
        <v>7</v>
      </c>
      <c r="B9" s="17" t="str">
        <f>'Students Attendance'!$H$2</f>
        <v>7TH</v>
      </c>
      <c r="C9" s="17">
        <f>'Students Attendance'!B12</f>
        <v>7</v>
      </c>
      <c r="D9" s="17">
        <f>'Students Attendance'!C12</f>
        <v>1006</v>
      </c>
      <c r="E9" s="17" t="str">
        <f>'Students Attendance'!D12</f>
        <v>Ali7</v>
      </c>
      <c r="F9" s="17" t="str">
        <f>'Students Attendance'!F12</f>
        <v>Khan 7</v>
      </c>
      <c r="G9" s="17">
        <f>'Students Attendance'!H12</f>
        <v>3005326953</v>
      </c>
      <c r="H9" s="17">
        <f>'Students Attendance'!I12</f>
        <v>0</v>
      </c>
      <c r="I9" s="17" t="str">
        <f xml:space="preserve"> 'Students Attendance'!$F$1</f>
        <v>APS Hazro</v>
      </c>
    </row>
    <row r="10" spans="1:9" x14ac:dyDescent="0.3">
      <c r="A10" s="15">
        <v>8</v>
      </c>
      <c r="B10" s="17" t="str">
        <f>'Students Attendance'!$H$2</f>
        <v>7TH</v>
      </c>
      <c r="C10" s="17">
        <f>'Students Attendance'!B13</f>
        <v>8</v>
      </c>
      <c r="D10" s="17">
        <f>'Students Attendance'!C13</f>
        <v>1007</v>
      </c>
      <c r="E10" s="17" t="str">
        <f>'Students Attendance'!D13</f>
        <v>Ali8</v>
      </c>
      <c r="F10" s="17" t="str">
        <f>'Students Attendance'!F13</f>
        <v>Khan 8</v>
      </c>
      <c r="G10" s="17">
        <f>'Students Attendance'!H13</f>
        <v>3005326994</v>
      </c>
      <c r="H10" s="17">
        <f>'Students Attendance'!I13</f>
        <v>0</v>
      </c>
      <c r="I10" s="17" t="str">
        <f xml:space="preserve"> 'Students Attendance'!$F$1</f>
        <v>APS Hazro</v>
      </c>
    </row>
    <row r="11" spans="1:9" x14ac:dyDescent="0.3">
      <c r="A11" s="15">
        <v>9</v>
      </c>
      <c r="B11" s="17" t="str">
        <f>'Students Attendance'!$H$2</f>
        <v>7TH</v>
      </c>
      <c r="C11" s="17">
        <f>'Students Attendance'!B14</f>
        <v>9</v>
      </c>
      <c r="D11" s="17">
        <f>'Students Attendance'!C14</f>
        <v>1008</v>
      </c>
      <c r="E11" s="17" t="str">
        <f>'Students Attendance'!D14</f>
        <v>Ali9</v>
      </c>
      <c r="F11" s="17" t="str">
        <f>'Students Attendance'!F14</f>
        <v>Khan 9</v>
      </c>
      <c r="G11" s="17">
        <f>'Students Attendance'!H14</f>
        <v>3005327035</v>
      </c>
      <c r="H11" s="17">
        <f>'Students Attendance'!I14</f>
        <v>0</v>
      </c>
      <c r="I11" s="17" t="str">
        <f xml:space="preserve"> 'Students Attendance'!$F$1</f>
        <v>APS Hazro</v>
      </c>
    </row>
    <row r="12" spans="1:9" x14ac:dyDescent="0.3">
      <c r="A12" s="15">
        <v>10</v>
      </c>
      <c r="B12" s="17" t="str">
        <f>'Students Attendance'!$H$2</f>
        <v>7TH</v>
      </c>
      <c r="C12" s="17">
        <f>'Students Attendance'!B15</f>
        <v>10</v>
      </c>
      <c r="D12" s="17">
        <f>'Students Attendance'!C15</f>
        <v>1009</v>
      </c>
      <c r="E12" s="17" t="str">
        <f>'Students Attendance'!D15</f>
        <v>Ali10</v>
      </c>
      <c r="F12" s="17" t="str">
        <f>'Students Attendance'!F15</f>
        <v>Khan 10</v>
      </c>
      <c r="G12" s="17">
        <f>'Students Attendance'!H15</f>
        <v>3005327076</v>
      </c>
      <c r="H12" s="17">
        <f>'Students Attendance'!I15</f>
        <v>0</v>
      </c>
      <c r="I12" s="17" t="str">
        <f xml:space="preserve"> 'Students Attendance'!$F$1</f>
        <v>APS Hazro</v>
      </c>
    </row>
    <row r="13" spans="1:9" x14ac:dyDescent="0.3">
      <c r="A13" s="15">
        <v>11</v>
      </c>
      <c r="B13" s="17" t="str">
        <f>'Students Attendance'!$H$2</f>
        <v>7TH</v>
      </c>
      <c r="C13" s="17">
        <f>'Students Attendance'!B16</f>
        <v>11</v>
      </c>
      <c r="D13" s="17">
        <f>'Students Attendance'!C16</f>
        <v>1010</v>
      </c>
      <c r="E13" s="17" t="str">
        <f>'Students Attendance'!D16</f>
        <v>Ali11</v>
      </c>
      <c r="F13" s="17" t="str">
        <f>'Students Attendance'!F16</f>
        <v>Khan 11</v>
      </c>
      <c r="G13" s="17">
        <f>'Students Attendance'!H16</f>
        <v>3005327117</v>
      </c>
      <c r="H13" s="17">
        <f>'Students Attendance'!I16</f>
        <v>0</v>
      </c>
      <c r="I13" s="17" t="str">
        <f xml:space="preserve"> 'Students Attendance'!$F$1</f>
        <v>APS Hazro</v>
      </c>
    </row>
    <row r="14" spans="1:9" x14ac:dyDescent="0.3">
      <c r="A14" s="15">
        <v>12</v>
      </c>
      <c r="B14" s="17" t="str">
        <f>'Students Attendance'!$H$2</f>
        <v>7TH</v>
      </c>
      <c r="C14" s="17">
        <f>'Students Attendance'!B17</f>
        <v>12</v>
      </c>
      <c r="D14" s="17">
        <f>'Students Attendance'!C17</f>
        <v>1011</v>
      </c>
      <c r="E14" s="17" t="str">
        <f>'Students Attendance'!D17</f>
        <v>Ali12</v>
      </c>
      <c r="F14" s="17" t="str">
        <f>'Students Attendance'!F17</f>
        <v>Khan 12</v>
      </c>
      <c r="G14" s="17">
        <f>'Students Attendance'!H17</f>
        <v>3005327158</v>
      </c>
      <c r="H14" s="17">
        <f>'Students Attendance'!I17</f>
        <v>0</v>
      </c>
      <c r="I14" s="17" t="str">
        <f xml:space="preserve"> 'Students Attendance'!$F$1</f>
        <v>APS Hazro</v>
      </c>
    </row>
    <row r="15" spans="1:9" x14ac:dyDescent="0.3">
      <c r="A15" s="15">
        <v>13</v>
      </c>
      <c r="B15" s="17" t="str">
        <f>'Students Attendance'!$H$2</f>
        <v>7TH</v>
      </c>
      <c r="C15" s="17">
        <f>'Students Attendance'!B18</f>
        <v>13</v>
      </c>
      <c r="D15" s="17">
        <f>'Students Attendance'!C18</f>
        <v>1012</v>
      </c>
      <c r="E15" s="17" t="str">
        <f>'Students Attendance'!D18</f>
        <v>Ali13</v>
      </c>
      <c r="F15" s="17" t="str">
        <f>'Students Attendance'!F18</f>
        <v>Khan 13</v>
      </c>
      <c r="G15" s="17">
        <f>'Students Attendance'!H18</f>
        <v>3005327199</v>
      </c>
      <c r="H15" s="17">
        <f>'Students Attendance'!I18</f>
        <v>0</v>
      </c>
      <c r="I15" s="17" t="str">
        <f xml:space="preserve"> 'Students Attendance'!$F$1</f>
        <v>APS Hazro</v>
      </c>
    </row>
    <row r="16" spans="1:9" x14ac:dyDescent="0.3">
      <c r="A16" s="15">
        <v>14</v>
      </c>
      <c r="B16" s="17" t="str">
        <f>'Students Attendance'!$H$2</f>
        <v>7TH</v>
      </c>
      <c r="C16" s="17">
        <f>'Students Attendance'!B19</f>
        <v>14</v>
      </c>
      <c r="D16" s="17">
        <f>'Students Attendance'!C19</f>
        <v>1013</v>
      </c>
      <c r="E16" s="17" t="str">
        <f>'Students Attendance'!D19</f>
        <v>Ali14</v>
      </c>
      <c r="F16" s="17" t="str">
        <f>'Students Attendance'!F19</f>
        <v>Khan 14</v>
      </c>
      <c r="G16" s="17">
        <f>'Students Attendance'!H19</f>
        <v>3005327240</v>
      </c>
      <c r="H16" s="17">
        <f>'Students Attendance'!I19</f>
        <v>0</v>
      </c>
      <c r="I16" s="17" t="str">
        <f xml:space="preserve"> 'Students Attendance'!$F$1</f>
        <v>APS Hazro</v>
      </c>
    </row>
    <row r="17" spans="1:9" x14ac:dyDescent="0.3">
      <c r="A17" s="15">
        <v>15</v>
      </c>
      <c r="B17" s="17" t="str">
        <f>'Students Attendance'!$H$2</f>
        <v>7TH</v>
      </c>
      <c r="C17" s="17">
        <f>'Students Attendance'!B20</f>
        <v>15</v>
      </c>
      <c r="D17" s="17">
        <f>'Students Attendance'!C20</f>
        <v>1014</v>
      </c>
      <c r="E17" s="17" t="str">
        <f>'Students Attendance'!D20</f>
        <v>Ali15</v>
      </c>
      <c r="F17" s="17" t="str">
        <f>'Students Attendance'!F20</f>
        <v>Khan 15</v>
      </c>
      <c r="G17" s="17">
        <f>'Students Attendance'!H20</f>
        <v>3005327281</v>
      </c>
      <c r="H17" s="17">
        <f>'Students Attendance'!I20</f>
        <v>0</v>
      </c>
      <c r="I17" s="17" t="str">
        <f xml:space="preserve"> 'Students Attendance'!$F$1</f>
        <v>APS Hazro</v>
      </c>
    </row>
    <row r="18" spans="1:9" x14ac:dyDescent="0.3">
      <c r="A18" s="15">
        <v>16</v>
      </c>
      <c r="B18" s="17" t="str">
        <f>'Students Attendance'!$H$2</f>
        <v>7TH</v>
      </c>
      <c r="C18" s="17">
        <f>'Students Attendance'!B21</f>
        <v>16</v>
      </c>
      <c r="D18" s="17">
        <f>'Students Attendance'!C21</f>
        <v>1015</v>
      </c>
      <c r="E18" s="17" t="str">
        <f>'Students Attendance'!D21</f>
        <v>Ali16</v>
      </c>
      <c r="F18" s="17" t="str">
        <f>'Students Attendance'!F21</f>
        <v>Khan 16</v>
      </c>
      <c r="G18" s="17">
        <f>'Students Attendance'!H21</f>
        <v>3005327322</v>
      </c>
      <c r="H18" s="17">
        <f>'Students Attendance'!I21</f>
        <v>0</v>
      </c>
      <c r="I18" s="17" t="str">
        <f xml:space="preserve"> 'Students Attendance'!$F$1</f>
        <v>APS Hazro</v>
      </c>
    </row>
    <row r="19" spans="1:9" x14ac:dyDescent="0.3">
      <c r="A19" s="15">
        <v>17</v>
      </c>
      <c r="B19" s="17" t="str">
        <f>'Students Attendance'!$H$2</f>
        <v>7TH</v>
      </c>
      <c r="C19" s="17">
        <f>'Students Attendance'!B22</f>
        <v>17</v>
      </c>
      <c r="D19" s="17">
        <f>'Students Attendance'!C22</f>
        <v>1016</v>
      </c>
      <c r="E19" s="17" t="str">
        <f>'Students Attendance'!D22</f>
        <v>Ali17</v>
      </c>
      <c r="F19" s="17" t="str">
        <f>'Students Attendance'!F22</f>
        <v>Khan 17</v>
      </c>
      <c r="G19" s="17">
        <f>'Students Attendance'!H22</f>
        <v>3005327363</v>
      </c>
      <c r="H19" s="17">
        <f>'Students Attendance'!I22</f>
        <v>0</v>
      </c>
      <c r="I19" s="17" t="str">
        <f xml:space="preserve"> 'Students Attendance'!$F$1</f>
        <v>APS Hazro</v>
      </c>
    </row>
    <row r="20" spans="1:9" x14ac:dyDescent="0.3">
      <c r="A20" s="15">
        <v>18</v>
      </c>
      <c r="B20" s="17" t="str">
        <f>'Students Attendance'!$H$2</f>
        <v>7TH</v>
      </c>
      <c r="C20" s="17">
        <f>'Students Attendance'!B23</f>
        <v>18</v>
      </c>
      <c r="D20" s="17">
        <f>'Students Attendance'!C23</f>
        <v>1017</v>
      </c>
      <c r="E20" s="17" t="str">
        <f>'Students Attendance'!D23</f>
        <v>Ali18</v>
      </c>
      <c r="F20" s="17" t="str">
        <f>'Students Attendance'!F23</f>
        <v>Khan 18</v>
      </c>
      <c r="G20" s="17">
        <f>'Students Attendance'!H23</f>
        <v>3005327404</v>
      </c>
      <c r="H20" s="17">
        <f>'Students Attendance'!I23</f>
        <v>0</v>
      </c>
      <c r="I20" s="17" t="str">
        <f xml:space="preserve"> 'Students Attendance'!$F$1</f>
        <v>APS Hazro</v>
      </c>
    </row>
    <row r="21" spans="1:9" x14ac:dyDescent="0.3">
      <c r="A21" s="15">
        <v>19</v>
      </c>
      <c r="B21" s="17" t="str">
        <f>'Students Attendance'!$H$2</f>
        <v>7TH</v>
      </c>
      <c r="C21" s="17">
        <f>'Students Attendance'!B24</f>
        <v>19</v>
      </c>
      <c r="D21" s="17">
        <f>'Students Attendance'!C24</f>
        <v>1018</v>
      </c>
      <c r="E21" s="17" t="str">
        <f>'Students Attendance'!D24</f>
        <v>Ali19</v>
      </c>
      <c r="F21" s="17" t="str">
        <f>'Students Attendance'!F24</f>
        <v>Khan 19</v>
      </c>
      <c r="G21" s="17">
        <f>'Students Attendance'!H24</f>
        <v>3005327445</v>
      </c>
      <c r="H21" s="17">
        <f>'Students Attendance'!I24</f>
        <v>0</v>
      </c>
      <c r="I21" s="17" t="str">
        <f xml:space="preserve"> 'Students Attendance'!$F$1</f>
        <v>APS Hazro</v>
      </c>
    </row>
    <row r="22" spans="1:9" x14ac:dyDescent="0.3">
      <c r="A22" s="15">
        <v>20</v>
      </c>
      <c r="B22" s="17" t="str">
        <f>'Students Attendance'!$H$2</f>
        <v>7TH</v>
      </c>
      <c r="C22" s="17">
        <f>'Students Attendance'!B25</f>
        <v>20</v>
      </c>
      <c r="D22" s="17">
        <f>'Students Attendance'!C25</f>
        <v>1019</v>
      </c>
      <c r="E22" s="17" t="str">
        <f>'Students Attendance'!D25</f>
        <v>Ali20</v>
      </c>
      <c r="F22" s="17" t="str">
        <f>'Students Attendance'!F25</f>
        <v>Khan 20</v>
      </c>
      <c r="G22" s="17">
        <f>'Students Attendance'!H25</f>
        <v>3005327486</v>
      </c>
      <c r="H22" s="17">
        <f>'Students Attendance'!I25</f>
        <v>0</v>
      </c>
      <c r="I22" s="17" t="str">
        <f xml:space="preserve"> 'Students Attendance'!$F$1</f>
        <v>APS Hazro</v>
      </c>
    </row>
    <row r="23" spans="1:9" x14ac:dyDescent="0.3">
      <c r="A23" s="15">
        <v>21</v>
      </c>
      <c r="B23" s="17" t="str">
        <f>'Students Attendance'!$H$2</f>
        <v>7TH</v>
      </c>
      <c r="C23" s="17">
        <f>'Students Attendance'!B26</f>
        <v>21</v>
      </c>
      <c r="D23" s="17">
        <f>'Students Attendance'!C26</f>
        <v>1020</v>
      </c>
      <c r="E23" s="17" t="str">
        <f>'Students Attendance'!D26</f>
        <v>Ali21</v>
      </c>
      <c r="F23" s="17" t="str">
        <f>'Students Attendance'!F26</f>
        <v>Khan 21</v>
      </c>
      <c r="G23" s="17">
        <f>'Students Attendance'!H26</f>
        <v>3005327527</v>
      </c>
      <c r="H23" s="17">
        <f>'Students Attendance'!I26</f>
        <v>0</v>
      </c>
      <c r="I23" s="17" t="str">
        <f xml:space="preserve"> 'Students Attendance'!$F$1</f>
        <v>APS Hazro</v>
      </c>
    </row>
    <row r="24" spans="1:9" x14ac:dyDescent="0.3">
      <c r="A24" s="15">
        <v>22</v>
      </c>
      <c r="B24" s="17" t="str">
        <f>'Students Attendance'!$H$2</f>
        <v>7TH</v>
      </c>
      <c r="C24" s="17">
        <f>'Students Attendance'!B27</f>
        <v>22</v>
      </c>
      <c r="D24" s="17">
        <f>'Students Attendance'!C27</f>
        <v>1021</v>
      </c>
      <c r="E24" s="17" t="str">
        <f>'Students Attendance'!D27</f>
        <v>Ali22</v>
      </c>
      <c r="F24" s="17" t="str">
        <f>'Students Attendance'!F27</f>
        <v>Khan 22</v>
      </c>
      <c r="G24" s="17">
        <f>'Students Attendance'!H27</f>
        <v>3005327568</v>
      </c>
      <c r="H24" s="17">
        <f>'Students Attendance'!I27</f>
        <v>0</v>
      </c>
      <c r="I24" s="17" t="str">
        <f xml:space="preserve"> 'Students Attendance'!$F$1</f>
        <v>APS Hazro</v>
      </c>
    </row>
    <row r="25" spans="1:9" x14ac:dyDescent="0.3">
      <c r="A25" s="15">
        <v>23</v>
      </c>
      <c r="B25" s="17" t="str">
        <f>'Students Attendance'!$H$2</f>
        <v>7TH</v>
      </c>
      <c r="C25" s="17">
        <f>'Students Attendance'!B28</f>
        <v>23</v>
      </c>
      <c r="D25" s="17">
        <f>'Students Attendance'!C28</f>
        <v>1022</v>
      </c>
      <c r="E25" s="17" t="str">
        <f>'Students Attendance'!D28</f>
        <v>Ali23</v>
      </c>
      <c r="F25" s="17" t="str">
        <f>'Students Attendance'!F28</f>
        <v>Khan 23</v>
      </c>
      <c r="G25" s="17">
        <f>'Students Attendance'!H28</f>
        <v>3005327609</v>
      </c>
      <c r="H25" s="17">
        <f>'Students Attendance'!I28</f>
        <v>0</v>
      </c>
      <c r="I25" s="17" t="str">
        <f xml:space="preserve"> 'Students Attendance'!$F$1</f>
        <v>APS Hazro</v>
      </c>
    </row>
    <row r="26" spans="1:9" x14ac:dyDescent="0.3">
      <c r="A26" s="15">
        <v>24</v>
      </c>
      <c r="B26" s="17" t="str">
        <f>'Students Attendance'!$H$2</f>
        <v>7TH</v>
      </c>
      <c r="C26" s="17">
        <f>'Students Attendance'!B29</f>
        <v>24</v>
      </c>
      <c r="D26" s="17">
        <f>'Students Attendance'!C29</f>
        <v>1023</v>
      </c>
      <c r="E26" s="17" t="str">
        <f>'Students Attendance'!D29</f>
        <v>Ali24</v>
      </c>
      <c r="F26" s="17" t="str">
        <f>'Students Attendance'!F29</f>
        <v>Khan 24</v>
      </c>
      <c r="G26" s="17">
        <f>'Students Attendance'!H29</f>
        <v>3005327650</v>
      </c>
      <c r="H26" s="17">
        <f>'Students Attendance'!I29</f>
        <v>0</v>
      </c>
      <c r="I26" s="17" t="str">
        <f xml:space="preserve"> 'Students Attendance'!$F$1</f>
        <v>APS Hazro</v>
      </c>
    </row>
    <row r="27" spans="1:9" x14ac:dyDescent="0.3">
      <c r="A27" s="15">
        <v>25</v>
      </c>
      <c r="B27" s="17" t="str">
        <f>'Students Attendance'!$H$2</f>
        <v>7TH</v>
      </c>
      <c r="C27" s="17">
        <f>'Students Attendance'!B30</f>
        <v>25</v>
      </c>
      <c r="D27" s="17">
        <f>'Students Attendance'!C30</f>
        <v>1024</v>
      </c>
      <c r="E27" s="17" t="str">
        <f>'Students Attendance'!D30</f>
        <v>Ali25</v>
      </c>
      <c r="F27" s="17" t="str">
        <f>'Students Attendance'!F30</f>
        <v>Khan 25</v>
      </c>
      <c r="G27" s="17">
        <f>'Students Attendance'!H30</f>
        <v>3005327691</v>
      </c>
      <c r="H27" s="17">
        <f>'Students Attendance'!I30</f>
        <v>0</v>
      </c>
      <c r="I27" s="17" t="str">
        <f xml:space="preserve"> 'Students Attendance'!$F$1</f>
        <v>APS Hazro</v>
      </c>
    </row>
    <row r="28" spans="1:9" x14ac:dyDescent="0.3">
      <c r="A28" s="15">
        <v>26</v>
      </c>
      <c r="B28" s="17" t="str">
        <f>'Students Attendance'!$H$2</f>
        <v>7TH</v>
      </c>
      <c r="C28" s="17">
        <f>'Students Attendance'!B31</f>
        <v>26</v>
      </c>
      <c r="D28" s="17">
        <f>'Students Attendance'!C31</f>
        <v>1025</v>
      </c>
      <c r="E28" s="17" t="str">
        <f>'Students Attendance'!D31</f>
        <v>Ali26</v>
      </c>
      <c r="F28" s="17" t="str">
        <f>'Students Attendance'!F31</f>
        <v>Khan 26</v>
      </c>
      <c r="G28" s="17">
        <f>'Students Attendance'!H31</f>
        <v>3005327732</v>
      </c>
      <c r="H28" s="17">
        <f>'Students Attendance'!I31</f>
        <v>0</v>
      </c>
      <c r="I28" s="17" t="str">
        <f xml:space="preserve"> 'Students Attendance'!$F$1</f>
        <v>APS Hazro</v>
      </c>
    </row>
    <row r="29" spans="1:9" x14ac:dyDescent="0.3">
      <c r="A29" s="15">
        <v>27</v>
      </c>
      <c r="B29" s="17" t="str">
        <f>'Students Attendance'!$H$2</f>
        <v>7TH</v>
      </c>
      <c r="C29" s="17">
        <f>'Students Attendance'!B32</f>
        <v>27</v>
      </c>
      <c r="D29" s="17">
        <f>'Students Attendance'!C32</f>
        <v>1026</v>
      </c>
      <c r="E29" s="17" t="str">
        <f>'Students Attendance'!D32</f>
        <v>Ali27</v>
      </c>
      <c r="F29" s="17" t="str">
        <f>'Students Attendance'!F32</f>
        <v>Khan 27</v>
      </c>
      <c r="G29" s="17">
        <f>'Students Attendance'!H32</f>
        <v>3005327773</v>
      </c>
      <c r="H29" s="17">
        <f>'Students Attendance'!I32</f>
        <v>0</v>
      </c>
      <c r="I29" s="17" t="str">
        <f xml:space="preserve"> 'Students Attendance'!$F$1</f>
        <v>APS Hazro</v>
      </c>
    </row>
    <row r="30" spans="1:9" x14ac:dyDescent="0.3">
      <c r="A30" s="15">
        <v>28</v>
      </c>
      <c r="B30" s="17" t="str">
        <f>'Students Attendance'!$H$2</f>
        <v>7TH</v>
      </c>
      <c r="C30" s="17">
        <f>'Students Attendance'!B33</f>
        <v>28</v>
      </c>
      <c r="D30" s="17">
        <f>'Students Attendance'!C33</f>
        <v>1027</v>
      </c>
      <c r="E30" s="17" t="str">
        <f>'Students Attendance'!D33</f>
        <v>Ali28</v>
      </c>
      <c r="F30" s="17" t="str">
        <f>'Students Attendance'!F33</f>
        <v>Khan 28</v>
      </c>
      <c r="G30" s="17">
        <f>'Students Attendance'!H33</f>
        <v>3005327814</v>
      </c>
      <c r="H30" s="17">
        <f>'Students Attendance'!I33</f>
        <v>0</v>
      </c>
      <c r="I30" s="17" t="str">
        <f xml:space="preserve"> 'Students Attendance'!$F$1</f>
        <v>APS Hazro</v>
      </c>
    </row>
    <row r="31" spans="1:9" x14ac:dyDescent="0.3">
      <c r="A31" s="15">
        <v>29</v>
      </c>
      <c r="B31" s="17" t="str">
        <f>'Students Attendance'!$H$2</f>
        <v>7TH</v>
      </c>
      <c r="C31" s="17">
        <f>'Students Attendance'!B34</f>
        <v>29</v>
      </c>
      <c r="D31" s="17">
        <f>'Students Attendance'!C34</f>
        <v>1028</v>
      </c>
      <c r="E31" s="17" t="str">
        <f>'Students Attendance'!D34</f>
        <v>Ali29</v>
      </c>
      <c r="F31" s="17" t="str">
        <f>'Students Attendance'!F34</f>
        <v>Khan 29</v>
      </c>
      <c r="G31" s="17">
        <f>'Students Attendance'!H34</f>
        <v>3005327855</v>
      </c>
      <c r="H31" s="17">
        <f>'Students Attendance'!I34</f>
        <v>0</v>
      </c>
      <c r="I31" s="17" t="str">
        <f xml:space="preserve"> 'Students Attendance'!$F$1</f>
        <v>APS Hazro</v>
      </c>
    </row>
    <row r="32" spans="1:9" x14ac:dyDescent="0.3">
      <c r="A32" s="15">
        <v>30</v>
      </c>
      <c r="B32" s="17" t="str">
        <f>'Students Attendance'!$H$2</f>
        <v>7TH</v>
      </c>
      <c r="C32" s="17">
        <f>'Students Attendance'!B35</f>
        <v>30</v>
      </c>
      <c r="D32" s="17">
        <f>'Students Attendance'!C35</f>
        <v>1029</v>
      </c>
      <c r="E32" s="17" t="str">
        <f>'Students Attendance'!D35</f>
        <v>Ali30</v>
      </c>
      <c r="F32" s="17" t="str">
        <f>'Students Attendance'!F35</f>
        <v>Khan 30</v>
      </c>
      <c r="G32" s="17">
        <f>'Students Attendance'!H35</f>
        <v>3005327896</v>
      </c>
      <c r="H32" s="17">
        <f>'Students Attendance'!I35</f>
        <v>0</v>
      </c>
      <c r="I32" s="17" t="str">
        <f xml:space="preserve"> 'Students Attendance'!$F$1</f>
        <v>APS Hazro</v>
      </c>
    </row>
    <row r="33" spans="1:9" x14ac:dyDescent="0.3">
      <c r="A33" s="15">
        <v>31</v>
      </c>
      <c r="B33" s="17" t="str">
        <f>'Students Attendance'!$H$2</f>
        <v>7TH</v>
      </c>
      <c r="C33" s="17">
        <f>'Students Attendance'!B36</f>
        <v>31</v>
      </c>
      <c r="D33" s="17">
        <f>'Students Attendance'!C36</f>
        <v>1030</v>
      </c>
      <c r="E33" s="17" t="str">
        <f>'Students Attendance'!D36</f>
        <v>Ali31</v>
      </c>
      <c r="F33" s="17" t="str">
        <f>'Students Attendance'!F36</f>
        <v>Khan 31</v>
      </c>
      <c r="G33" s="17">
        <f>'Students Attendance'!H36</f>
        <v>3005327937</v>
      </c>
      <c r="H33" s="17">
        <f>'Students Attendance'!I36</f>
        <v>0</v>
      </c>
      <c r="I33" s="17" t="str">
        <f xml:space="preserve"> 'Students Attendance'!$F$1</f>
        <v>APS Hazro</v>
      </c>
    </row>
    <row r="34" spans="1:9" x14ac:dyDescent="0.3">
      <c r="A34" s="15">
        <v>32</v>
      </c>
      <c r="B34" s="17" t="str">
        <f>'Students Attendance'!$H$2</f>
        <v>7TH</v>
      </c>
      <c r="C34" s="17">
        <f>'Students Attendance'!B37</f>
        <v>32</v>
      </c>
      <c r="D34" s="17">
        <f>'Students Attendance'!C37</f>
        <v>1031</v>
      </c>
      <c r="E34" s="17" t="str">
        <f>'Students Attendance'!D37</f>
        <v>Ali32</v>
      </c>
      <c r="F34" s="17" t="str">
        <f>'Students Attendance'!F37</f>
        <v>Khan 32</v>
      </c>
      <c r="G34" s="17">
        <f>'Students Attendance'!H37</f>
        <v>3005327978</v>
      </c>
      <c r="H34" s="17">
        <f>'Students Attendance'!I37</f>
        <v>0</v>
      </c>
      <c r="I34" s="17" t="str">
        <f xml:space="preserve"> 'Students Attendance'!$F$1</f>
        <v>APS Hazro</v>
      </c>
    </row>
    <row r="35" spans="1:9" x14ac:dyDescent="0.3">
      <c r="A35" s="15">
        <v>33</v>
      </c>
      <c r="B35" s="17" t="str">
        <f>'Students Attendance'!$H$2</f>
        <v>7TH</v>
      </c>
      <c r="C35" s="17">
        <f>'Students Attendance'!B38</f>
        <v>33</v>
      </c>
      <c r="D35" s="17">
        <f>'Students Attendance'!C38</f>
        <v>1032</v>
      </c>
      <c r="E35" s="17" t="str">
        <f>'Students Attendance'!D38</f>
        <v>Ali33</v>
      </c>
      <c r="F35" s="17" t="str">
        <f>'Students Attendance'!F38</f>
        <v>Khan 33</v>
      </c>
      <c r="G35" s="17">
        <f>'Students Attendance'!H38</f>
        <v>3005328019</v>
      </c>
      <c r="H35" s="17">
        <f>'Students Attendance'!I38</f>
        <v>0</v>
      </c>
      <c r="I35" s="17" t="str">
        <f xml:space="preserve"> 'Students Attendance'!$F$1</f>
        <v>APS Hazro</v>
      </c>
    </row>
    <row r="36" spans="1:9" x14ac:dyDescent="0.3">
      <c r="A36" s="15">
        <v>34</v>
      </c>
      <c r="B36" s="17" t="str">
        <f>'Students Attendance'!$H$2</f>
        <v>7TH</v>
      </c>
      <c r="C36" s="17">
        <f>'Students Attendance'!B39</f>
        <v>34</v>
      </c>
      <c r="D36" s="17">
        <f>'Students Attendance'!C39</f>
        <v>1033</v>
      </c>
      <c r="E36" s="17" t="str">
        <f>'Students Attendance'!D39</f>
        <v>Ali34</v>
      </c>
      <c r="F36" s="17" t="str">
        <f>'Students Attendance'!F39</f>
        <v>Khan 34</v>
      </c>
      <c r="G36" s="17">
        <f>'Students Attendance'!H39</f>
        <v>3005328060</v>
      </c>
      <c r="H36" s="17">
        <f>'Students Attendance'!I39</f>
        <v>0</v>
      </c>
      <c r="I36" s="17" t="str">
        <f xml:space="preserve"> 'Students Attendance'!$F$1</f>
        <v>APS Hazro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DC47-A976-47E0-A474-F934B546C330}">
  <sheetPr codeName="Sheet3"/>
  <dimension ref="A1:AF41"/>
  <sheetViews>
    <sheetView topLeftCell="W1" workbookViewId="0">
      <selection activeCell="A14" sqref="A14"/>
    </sheetView>
  </sheetViews>
  <sheetFormatPr defaultColWidth="21.6640625" defaultRowHeight="14.4" x14ac:dyDescent="0.3"/>
  <sheetData>
    <row r="1" spans="1:32" ht="21" x14ac:dyDescent="0.4">
      <c r="A1" s="56" t="s">
        <v>139</v>
      </c>
      <c r="B1" s="56"/>
      <c r="C1" s="56"/>
      <c r="D1" s="56"/>
      <c r="E1" s="56"/>
      <c r="F1" s="56"/>
      <c r="G1" s="56"/>
      <c r="H1" s="56"/>
      <c r="I1" s="56"/>
      <c r="J1" s="56" t="s">
        <v>201</v>
      </c>
      <c r="K1" s="56"/>
      <c r="L1" s="56"/>
      <c r="M1" s="56"/>
      <c r="N1" s="56"/>
      <c r="O1" s="56"/>
      <c r="P1" s="56"/>
      <c r="Q1" s="56"/>
      <c r="R1" s="56"/>
      <c r="S1" s="56"/>
      <c r="T1" s="56"/>
      <c r="V1" s="56" t="s">
        <v>13</v>
      </c>
      <c r="W1" s="56"/>
      <c r="X1" s="56"/>
      <c r="Y1" s="56"/>
      <c r="Z1" s="56"/>
      <c r="AA1" s="56"/>
      <c r="AB1" s="56"/>
      <c r="AC1" s="56"/>
      <c r="AD1" s="56"/>
      <c r="AE1" s="56"/>
    </row>
    <row r="2" spans="1:32" ht="15.6" x14ac:dyDescent="0.3">
      <c r="A2" s="54" t="s">
        <v>196</v>
      </c>
      <c r="B2" s="54" t="s">
        <v>23</v>
      </c>
      <c r="C2" s="54" t="s">
        <v>2</v>
      </c>
      <c r="D2" s="54" t="s">
        <v>17</v>
      </c>
      <c r="E2" s="54" t="s">
        <v>24</v>
      </c>
      <c r="F2" s="54" t="s">
        <v>25</v>
      </c>
      <c r="G2" s="54" t="s">
        <v>197</v>
      </c>
      <c r="H2" s="54" t="s">
        <v>27</v>
      </c>
      <c r="I2" s="54" t="s">
        <v>28</v>
      </c>
      <c r="J2" s="54" t="s">
        <v>29</v>
      </c>
      <c r="K2" s="54" t="s">
        <v>30</v>
      </c>
      <c r="L2" s="54" t="s">
        <v>31</v>
      </c>
      <c r="M2" s="54" t="s">
        <v>32</v>
      </c>
      <c r="N2" s="54" t="s">
        <v>198</v>
      </c>
      <c r="O2" s="54" t="s">
        <v>33</v>
      </c>
      <c r="P2" s="54" t="s">
        <v>199</v>
      </c>
      <c r="Q2" s="54" t="s">
        <v>204</v>
      </c>
      <c r="R2" s="54" t="s">
        <v>175</v>
      </c>
      <c r="S2" s="54" t="s">
        <v>200</v>
      </c>
      <c r="T2" s="54" t="s">
        <v>36</v>
      </c>
      <c r="U2" s="54" t="s">
        <v>37</v>
      </c>
      <c r="V2" s="54" t="s">
        <v>30</v>
      </c>
      <c r="W2" s="54" t="s">
        <v>31</v>
      </c>
      <c r="X2" s="54" t="s">
        <v>32</v>
      </c>
      <c r="Y2" s="54" t="s">
        <v>198</v>
      </c>
      <c r="Z2" s="54" t="s">
        <v>33</v>
      </c>
      <c r="AA2" s="54" t="s">
        <v>199</v>
      </c>
      <c r="AB2" s="54" t="s">
        <v>204</v>
      </c>
      <c r="AC2" s="54" t="s">
        <v>175</v>
      </c>
      <c r="AD2" s="54" t="s">
        <v>200</v>
      </c>
      <c r="AE2" s="54" t="s">
        <v>36</v>
      </c>
      <c r="AF2" s="54" t="s">
        <v>37</v>
      </c>
    </row>
    <row r="3" spans="1:32" x14ac:dyDescent="0.3">
      <c r="A3">
        <f>'FM-1'!A3</f>
        <v>1</v>
      </c>
      <c r="B3" t="str">
        <f>'FM-1'!B3</f>
        <v>7TH</v>
      </c>
      <c r="C3">
        <f>'FM-1'!D3</f>
        <v>1000</v>
      </c>
      <c r="D3">
        <f>'FM-1'!C3</f>
        <v>1</v>
      </c>
      <c r="E3" t="str">
        <f>'FM-1'!E3</f>
        <v>Ali1</v>
      </c>
      <c r="F3" t="str">
        <f>'FM-1'!F3</f>
        <v>Khan 1</v>
      </c>
      <c r="G3">
        <f>'FM-1'!G3</f>
        <v>3005326707</v>
      </c>
      <c r="H3">
        <f>'FM-1'!H3</f>
        <v>0</v>
      </c>
      <c r="I3" t="str">
        <f>'FM-1'!I3</f>
        <v>APS Hazro</v>
      </c>
      <c r="J3" t="str">
        <f>'Marks Input'!F4</f>
        <v>ANNUAL EXAM 2024</v>
      </c>
      <c r="K3">
        <f>'Marks Input'!G4</f>
        <v>70</v>
      </c>
      <c r="L3">
        <f>'Marks Input'!H4</f>
        <v>30</v>
      </c>
      <c r="M3">
        <f>'Marks Input'!N4</f>
        <v>37</v>
      </c>
      <c r="N3">
        <f>'Marks Input'!L4</f>
        <v>58</v>
      </c>
      <c r="O3">
        <f>'Marks Input'!I4</f>
        <v>40</v>
      </c>
      <c r="P3">
        <f>'Marks Input'!J4</f>
        <v>70</v>
      </c>
      <c r="Q3">
        <f>'Marks Input'!M4</f>
        <v>54</v>
      </c>
      <c r="R3">
        <f>'Marks Input'!K4</f>
        <v>83</v>
      </c>
      <c r="S3">
        <f>'Marks Input'!M4</f>
        <v>54</v>
      </c>
      <c r="T3">
        <v>11</v>
      </c>
      <c r="U3">
        <f>'Marks Input'!P4</f>
        <v>470</v>
      </c>
      <c r="V3">
        <f t="shared" ref="V3:V36" si="0">RANK(K3,K$3:K$38,0)</f>
        <v>3</v>
      </c>
      <c r="W3">
        <f t="shared" ref="W3:W36" si="1">RANK(L3,L$3:L$38,0)</f>
        <v>34</v>
      </c>
      <c r="X3">
        <f t="shared" ref="X3:X36" si="2">RANK(M3,M$3:M$38,0)</f>
        <v>24</v>
      </c>
      <c r="Y3">
        <f t="shared" ref="Y3:Y36" si="3">RANK(N3,N$3:N$38,0)</f>
        <v>14</v>
      </c>
      <c r="Z3">
        <f t="shared" ref="Z3:Z36" si="4">RANK(O3,O$3:O$38,0)</f>
        <v>19</v>
      </c>
      <c r="AA3">
        <f t="shared" ref="AA3:AA36" si="5">RANK(P3,P$3:P$38,0)</f>
        <v>19</v>
      </c>
      <c r="AB3">
        <f t="shared" ref="AB3:AB36" si="6">RANK(Q3,Q$3:Q$38,0)</f>
        <v>18</v>
      </c>
      <c r="AC3">
        <f t="shared" ref="AC3:AC36" si="7">RANK(R3,R$3:R$38,0)</f>
        <v>7</v>
      </c>
      <c r="AD3">
        <f t="shared" ref="AD3:AD36" si="8">RANK(S3,S$3:S$38,0)</f>
        <v>18</v>
      </c>
      <c r="AF3">
        <f t="shared" ref="AF3:AF36" si="9">RANK(U3,U$3:U$38,0)</f>
        <v>23</v>
      </c>
    </row>
    <row r="4" spans="1:32" x14ac:dyDescent="0.3">
      <c r="A4">
        <f>'FM-1'!A4</f>
        <v>2</v>
      </c>
      <c r="B4" t="str">
        <f>'FM-1'!B4</f>
        <v>7TH</v>
      </c>
      <c r="C4">
        <f>'FM-1'!D4</f>
        <v>1001</v>
      </c>
      <c r="D4">
        <f>'FM-1'!C4</f>
        <v>2</v>
      </c>
      <c r="E4" t="str">
        <f>'FM-1'!E4</f>
        <v>Ali2</v>
      </c>
      <c r="F4" t="str">
        <f>'FM-1'!F4</f>
        <v>khan2</v>
      </c>
      <c r="G4">
        <f>'FM-1'!G4</f>
        <v>3005326748</v>
      </c>
      <c r="H4">
        <f>'FM-1'!H4</f>
        <v>0</v>
      </c>
      <c r="I4" t="str">
        <f>'FM-1'!I4</f>
        <v>APS Hazro</v>
      </c>
      <c r="J4" t="str">
        <f>'Marks Input'!F5</f>
        <v>ANNUAL EXAM 2024</v>
      </c>
      <c r="K4">
        <f>'Marks Input'!G5</f>
        <v>68</v>
      </c>
      <c r="L4">
        <f>'Marks Input'!H5</f>
        <v>59</v>
      </c>
      <c r="M4">
        <f>'Marks Input'!N5</f>
        <v>58</v>
      </c>
      <c r="N4">
        <f>'Marks Input'!L5</f>
        <v>56</v>
      </c>
      <c r="O4">
        <f>'Marks Input'!I5</f>
        <v>40</v>
      </c>
      <c r="P4">
        <f>'Marks Input'!J5</f>
        <v>92</v>
      </c>
      <c r="Q4">
        <f>'Marks Input'!M5</f>
        <v>61</v>
      </c>
      <c r="R4">
        <f>'Marks Input'!K5</f>
        <v>76</v>
      </c>
      <c r="S4">
        <f>'Marks Input'!M5</f>
        <v>61</v>
      </c>
      <c r="T4">
        <v>11</v>
      </c>
      <c r="U4">
        <f>'Marks Input'!P5</f>
        <v>550</v>
      </c>
      <c r="V4">
        <f t="shared" si="0"/>
        <v>9</v>
      </c>
      <c r="W4">
        <f t="shared" si="1"/>
        <v>7</v>
      </c>
      <c r="X4">
        <f t="shared" si="2"/>
        <v>5</v>
      </c>
      <c r="Y4">
        <f t="shared" si="3"/>
        <v>17</v>
      </c>
      <c r="Z4">
        <f t="shared" si="4"/>
        <v>19</v>
      </c>
      <c r="AA4">
        <f t="shared" si="5"/>
        <v>9</v>
      </c>
      <c r="AB4">
        <f t="shared" si="6"/>
        <v>10</v>
      </c>
      <c r="AC4">
        <f t="shared" si="7"/>
        <v>14</v>
      </c>
      <c r="AD4">
        <f t="shared" si="8"/>
        <v>10</v>
      </c>
      <c r="AF4">
        <f t="shared" si="9"/>
        <v>9</v>
      </c>
    </row>
    <row r="5" spans="1:32" x14ac:dyDescent="0.3">
      <c r="A5">
        <f>'FM-1'!A5</f>
        <v>3</v>
      </c>
      <c r="B5" t="str">
        <f>'FM-1'!B5</f>
        <v>7TH</v>
      </c>
      <c r="C5">
        <f>'FM-1'!D5</f>
        <v>1002</v>
      </c>
      <c r="D5">
        <f>'FM-1'!C5</f>
        <v>3</v>
      </c>
      <c r="E5" t="str">
        <f>'FM-1'!E5</f>
        <v>Ali3</v>
      </c>
      <c r="F5" t="str">
        <f>'FM-1'!F5</f>
        <v>khan3</v>
      </c>
      <c r="G5">
        <f>'FM-1'!G5</f>
        <v>3005326789</v>
      </c>
      <c r="H5">
        <f>'FM-1'!H5</f>
        <v>0</v>
      </c>
      <c r="I5" t="str">
        <f>'FM-1'!I5</f>
        <v>APS Hazro</v>
      </c>
      <c r="J5" t="str">
        <f>'Marks Input'!F6</f>
        <v>ANNUAL EXAM 2024</v>
      </c>
      <c r="K5">
        <f>'Marks Input'!G6</f>
        <v>68</v>
      </c>
      <c r="L5">
        <f>'Marks Input'!H6</f>
        <v>35</v>
      </c>
      <c r="M5">
        <f>'Marks Input'!N6</f>
        <v>58</v>
      </c>
      <c r="N5">
        <f>'Marks Input'!L6</f>
        <v>74</v>
      </c>
      <c r="O5">
        <f>'Marks Input'!I6</f>
        <v>34</v>
      </c>
      <c r="P5">
        <f>'Marks Input'!J6</f>
        <v>90</v>
      </c>
      <c r="Q5">
        <f>'Marks Input'!M6</f>
        <v>61</v>
      </c>
      <c r="R5">
        <f>'Marks Input'!K6</f>
        <v>77</v>
      </c>
      <c r="S5">
        <f>'Marks Input'!M6</f>
        <v>61</v>
      </c>
      <c r="T5">
        <v>11</v>
      </c>
      <c r="U5">
        <f>'Marks Input'!P6</f>
        <v>534</v>
      </c>
      <c r="V5">
        <f t="shared" si="0"/>
        <v>9</v>
      </c>
      <c r="W5">
        <f t="shared" si="1"/>
        <v>18</v>
      </c>
      <c r="X5">
        <f t="shared" si="2"/>
        <v>5</v>
      </c>
      <c r="Y5">
        <f t="shared" si="3"/>
        <v>10</v>
      </c>
      <c r="Z5">
        <f t="shared" si="4"/>
        <v>31</v>
      </c>
      <c r="AA5">
        <f t="shared" si="5"/>
        <v>10</v>
      </c>
      <c r="AB5">
        <f t="shared" si="6"/>
        <v>10</v>
      </c>
      <c r="AC5">
        <f t="shared" si="7"/>
        <v>11</v>
      </c>
      <c r="AD5">
        <f t="shared" si="8"/>
        <v>10</v>
      </c>
      <c r="AF5">
        <f t="shared" si="9"/>
        <v>13</v>
      </c>
    </row>
    <row r="6" spans="1:32" x14ac:dyDescent="0.3">
      <c r="A6">
        <f>'FM-1'!A6</f>
        <v>4</v>
      </c>
      <c r="B6" t="str">
        <f>'FM-1'!B6</f>
        <v>7TH</v>
      </c>
      <c r="C6">
        <f>'FM-1'!D6</f>
        <v>1003</v>
      </c>
      <c r="D6">
        <f>'FM-1'!C6</f>
        <v>4</v>
      </c>
      <c r="E6" t="str">
        <f>'FM-1'!E6</f>
        <v>Ali4</v>
      </c>
      <c r="F6" t="str">
        <f>'FM-1'!F6</f>
        <v>Khan 4</v>
      </c>
      <c r="G6">
        <f>'FM-1'!G6</f>
        <v>3005326830</v>
      </c>
      <c r="H6">
        <f>'FM-1'!H6</f>
        <v>0</v>
      </c>
      <c r="I6" t="str">
        <f>'FM-1'!I6</f>
        <v>APS Hazro</v>
      </c>
      <c r="J6" t="str">
        <f>'Marks Input'!F7</f>
        <v>ANNUAL EXAM 2024</v>
      </c>
      <c r="K6">
        <f>'Marks Input'!G7</f>
        <v>64</v>
      </c>
      <c r="L6">
        <f>'Marks Input'!H7</f>
        <v>39</v>
      </c>
      <c r="M6">
        <f>'Marks Input'!N7</f>
        <v>31</v>
      </c>
      <c r="N6">
        <f>'Marks Input'!L7</f>
        <v>40</v>
      </c>
      <c r="O6">
        <f>'Marks Input'!I7</f>
        <v>40</v>
      </c>
      <c r="P6">
        <f>'Marks Input'!J7</f>
        <v>53</v>
      </c>
      <c r="Q6">
        <f>'Marks Input'!M7</f>
        <v>45</v>
      </c>
      <c r="R6">
        <f>'Marks Input'!K7</f>
        <v>80</v>
      </c>
      <c r="S6">
        <f>'Marks Input'!M7</f>
        <v>45</v>
      </c>
      <c r="T6">
        <v>11</v>
      </c>
      <c r="U6">
        <f>'Marks Input'!P7</f>
        <v>413</v>
      </c>
      <c r="V6">
        <f t="shared" si="0"/>
        <v>18</v>
      </c>
      <c r="W6">
        <f t="shared" si="1"/>
        <v>17</v>
      </c>
      <c r="X6">
        <f t="shared" si="2"/>
        <v>26</v>
      </c>
      <c r="Y6">
        <f t="shared" si="3"/>
        <v>31</v>
      </c>
      <c r="Z6">
        <f t="shared" si="4"/>
        <v>19</v>
      </c>
      <c r="AA6">
        <f t="shared" si="5"/>
        <v>25</v>
      </c>
      <c r="AB6">
        <f t="shared" si="6"/>
        <v>26</v>
      </c>
      <c r="AC6">
        <f t="shared" si="7"/>
        <v>8</v>
      </c>
      <c r="AD6">
        <f t="shared" si="8"/>
        <v>26</v>
      </c>
      <c r="AF6">
        <f t="shared" si="9"/>
        <v>26</v>
      </c>
    </row>
    <row r="7" spans="1:32" x14ac:dyDescent="0.3">
      <c r="A7">
        <f>'FM-1'!A7</f>
        <v>5</v>
      </c>
      <c r="B7" t="str">
        <f>'FM-1'!B7</f>
        <v>7TH</v>
      </c>
      <c r="C7">
        <f>'FM-1'!D7</f>
        <v>1004</v>
      </c>
      <c r="D7">
        <f>'FM-1'!C7</f>
        <v>5</v>
      </c>
      <c r="E7" t="str">
        <f>'FM-1'!E7</f>
        <v>Ali5</v>
      </c>
      <c r="F7" t="str">
        <f>'FM-1'!F7</f>
        <v>Khan 5</v>
      </c>
      <c r="G7">
        <f>'FM-1'!G7</f>
        <v>3005326871</v>
      </c>
      <c r="H7">
        <f>'FM-1'!H7</f>
        <v>0</v>
      </c>
      <c r="I7" t="str">
        <f>'FM-1'!I7</f>
        <v>APS Hazro</v>
      </c>
      <c r="J7" t="str">
        <f>'Marks Input'!F8</f>
        <v>ANNUAL EXAM 2024</v>
      </c>
      <c r="K7">
        <f>'Marks Input'!G8</f>
        <v>63</v>
      </c>
      <c r="L7">
        <f>'Marks Input'!H8</f>
        <v>53</v>
      </c>
      <c r="M7">
        <f>'Marks Input'!N8</f>
        <v>55</v>
      </c>
      <c r="N7">
        <f>'Marks Input'!L8</f>
        <v>54</v>
      </c>
      <c r="O7">
        <f>'Marks Input'!I8</f>
        <v>88</v>
      </c>
      <c r="P7">
        <f>'Marks Input'!J8</f>
        <v>96</v>
      </c>
      <c r="Q7">
        <f>'Marks Input'!M8</f>
        <v>58</v>
      </c>
      <c r="R7">
        <f>'Marks Input'!K8</f>
        <v>75</v>
      </c>
      <c r="S7">
        <f>'Marks Input'!M8</f>
        <v>58</v>
      </c>
      <c r="T7">
        <v>11</v>
      </c>
      <c r="U7">
        <f>'Marks Input'!P8</f>
        <v>582</v>
      </c>
      <c r="V7">
        <f t="shared" si="0"/>
        <v>22</v>
      </c>
      <c r="W7">
        <f t="shared" si="1"/>
        <v>9</v>
      </c>
      <c r="X7">
        <f t="shared" si="2"/>
        <v>10</v>
      </c>
      <c r="Y7">
        <f t="shared" si="3"/>
        <v>19</v>
      </c>
      <c r="Z7">
        <f t="shared" si="4"/>
        <v>1</v>
      </c>
      <c r="AA7">
        <f t="shared" si="5"/>
        <v>1</v>
      </c>
      <c r="AB7">
        <f t="shared" si="6"/>
        <v>15</v>
      </c>
      <c r="AC7">
        <f t="shared" si="7"/>
        <v>16</v>
      </c>
      <c r="AD7">
        <f t="shared" si="8"/>
        <v>15</v>
      </c>
      <c r="AF7">
        <f t="shared" si="9"/>
        <v>6</v>
      </c>
    </row>
    <row r="8" spans="1:32" x14ac:dyDescent="0.3">
      <c r="A8">
        <f>'FM-1'!A8</f>
        <v>6</v>
      </c>
      <c r="B8" t="str">
        <f>'FM-1'!B8</f>
        <v>7TH</v>
      </c>
      <c r="C8">
        <f>'FM-1'!D8</f>
        <v>1005</v>
      </c>
      <c r="D8">
        <f>'FM-1'!C8</f>
        <v>6</v>
      </c>
      <c r="E8" t="str">
        <f>'FM-1'!E8</f>
        <v>Ali6</v>
      </c>
      <c r="F8" t="str">
        <f>'FM-1'!F8</f>
        <v>Khan 6</v>
      </c>
      <c r="G8">
        <f>'FM-1'!G8</f>
        <v>3005326912</v>
      </c>
      <c r="H8">
        <f>'FM-1'!H8</f>
        <v>0</v>
      </c>
      <c r="I8" t="str">
        <f>'FM-1'!I8</f>
        <v>APS Hazro</v>
      </c>
      <c r="J8" t="str">
        <f>'Marks Input'!F9</f>
        <v>ANNUAL EXAM 2024</v>
      </c>
      <c r="K8">
        <f>'Marks Input'!G9</f>
        <v>63</v>
      </c>
      <c r="L8">
        <f>'Marks Input'!H9</f>
        <v>62</v>
      </c>
      <c r="M8">
        <f>'Marks Input'!N9</f>
        <v>52</v>
      </c>
      <c r="N8">
        <f>'Marks Input'!L9</f>
        <v>54</v>
      </c>
      <c r="O8">
        <f>'Marks Input'!I9</f>
        <v>60</v>
      </c>
      <c r="P8">
        <f>'Marks Input'!J9</f>
        <v>82</v>
      </c>
      <c r="Q8">
        <f>'Marks Input'!M9</f>
        <v>53</v>
      </c>
      <c r="R8">
        <f>'Marks Input'!K9</f>
        <v>78</v>
      </c>
      <c r="S8">
        <f>'Marks Input'!M9</f>
        <v>53</v>
      </c>
      <c r="T8">
        <v>11</v>
      </c>
      <c r="U8">
        <f>'Marks Input'!P9</f>
        <v>536</v>
      </c>
      <c r="V8">
        <f t="shared" si="0"/>
        <v>22</v>
      </c>
      <c r="W8">
        <f t="shared" si="1"/>
        <v>4</v>
      </c>
      <c r="X8">
        <f t="shared" si="2"/>
        <v>12</v>
      </c>
      <c r="Y8">
        <f t="shared" si="3"/>
        <v>19</v>
      </c>
      <c r="Z8">
        <f t="shared" si="4"/>
        <v>4</v>
      </c>
      <c r="AA8">
        <f t="shared" si="5"/>
        <v>14</v>
      </c>
      <c r="AB8">
        <f t="shared" si="6"/>
        <v>20</v>
      </c>
      <c r="AC8">
        <f t="shared" si="7"/>
        <v>9</v>
      </c>
      <c r="AD8">
        <f t="shared" si="8"/>
        <v>20</v>
      </c>
      <c r="AF8">
        <f t="shared" si="9"/>
        <v>12</v>
      </c>
    </row>
    <row r="9" spans="1:32" x14ac:dyDescent="0.3">
      <c r="A9">
        <f>'FM-1'!A9</f>
        <v>7</v>
      </c>
      <c r="B9" t="str">
        <f>'FM-1'!B9</f>
        <v>7TH</v>
      </c>
      <c r="C9">
        <f>'FM-1'!D9</f>
        <v>1006</v>
      </c>
      <c r="D9">
        <f>'FM-1'!C9</f>
        <v>7</v>
      </c>
      <c r="E9" t="str">
        <f>'FM-1'!E9</f>
        <v>Ali7</v>
      </c>
      <c r="F9" t="str">
        <f>'FM-1'!F9</f>
        <v>Khan 7</v>
      </c>
      <c r="G9">
        <f>'FM-1'!G9</f>
        <v>3005326953</v>
      </c>
      <c r="H9">
        <f>'FM-1'!H9</f>
        <v>0</v>
      </c>
      <c r="I9" t="str">
        <f>'FM-1'!I9</f>
        <v>APS Hazro</v>
      </c>
      <c r="J9" t="str">
        <f>'Marks Input'!F10</f>
        <v>ANNUAL EXAM 2024</v>
      </c>
      <c r="K9">
        <f>'Marks Input'!G10</f>
        <v>64</v>
      </c>
      <c r="L9">
        <f>'Marks Input'!H10</f>
        <v>45</v>
      </c>
      <c r="M9">
        <f>'Marks Input'!N10</f>
        <v>57</v>
      </c>
      <c r="N9">
        <f>'Marks Input'!L10</f>
        <v>78</v>
      </c>
      <c r="O9">
        <f>'Marks Input'!I10</f>
        <v>40</v>
      </c>
      <c r="P9">
        <f>'Marks Input'!J10</f>
        <v>50</v>
      </c>
      <c r="Q9">
        <f>'Marks Input'!M10</f>
        <v>53</v>
      </c>
      <c r="R9">
        <f>'Marks Input'!K10</f>
        <v>74</v>
      </c>
      <c r="S9">
        <f>'Marks Input'!M10</f>
        <v>53</v>
      </c>
      <c r="T9">
        <v>11</v>
      </c>
      <c r="U9">
        <f>'Marks Input'!P10</f>
        <v>497</v>
      </c>
      <c r="V9">
        <f t="shared" si="0"/>
        <v>18</v>
      </c>
      <c r="W9">
        <f t="shared" si="1"/>
        <v>12</v>
      </c>
      <c r="X9">
        <f t="shared" si="2"/>
        <v>8</v>
      </c>
      <c r="Y9">
        <f t="shared" si="3"/>
        <v>7</v>
      </c>
      <c r="Z9">
        <f t="shared" si="4"/>
        <v>19</v>
      </c>
      <c r="AA9">
        <f t="shared" si="5"/>
        <v>27</v>
      </c>
      <c r="AB9">
        <f t="shared" si="6"/>
        <v>20</v>
      </c>
      <c r="AC9">
        <f t="shared" si="7"/>
        <v>21</v>
      </c>
      <c r="AD9">
        <f t="shared" si="8"/>
        <v>20</v>
      </c>
      <c r="AF9">
        <f t="shared" si="9"/>
        <v>18</v>
      </c>
    </row>
    <row r="10" spans="1:32" x14ac:dyDescent="0.3">
      <c r="A10">
        <f>'FM-1'!A10</f>
        <v>8</v>
      </c>
      <c r="B10" t="str">
        <f>'FM-1'!B10</f>
        <v>7TH</v>
      </c>
      <c r="C10">
        <f>'FM-1'!D10</f>
        <v>1007</v>
      </c>
      <c r="D10">
        <f>'FM-1'!C10</f>
        <v>8</v>
      </c>
      <c r="E10" t="str">
        <f>'FM-1'!E10</f>
        <v>Ali8</v>
      </c>
      <c r="F10" t="str">
        <f>'FM-1'!F10</f>
        <v>Khan 8</v>
      </c>
      <c r="G10">
        <f>'FM-1'!G10</f>
        <v>3005326994</v>
      </c>
      <c r="H10">
        <f>'FM-1'!H10</f>
        <v>0</v>
      </c>
      <c r="I10" t="str">
        <f>'FM-1'!I10</f>
        <v>APS Hazro</v>
      </c>
      <c r="J10" t="str">
        <f>'Marks Input'!F11</f>
        <v>ANNUAL EXAM 2024</v>
      </c>
      <c r="K10">
        <f>'Marks Input'!G11</f>
        <v>69</v>
      </c>
      <c r="L10">
        <f>'Marks Input'!H11</f>
        <v>33</v>
      </c>
      <c r="M10">
        <f>'Marks Input'!N11</f>
        <v>60</v>
      </c>
      <c r="N10">
        <f>'Marks Input'!L11</f>
        <v>48</v>
      </c>
      <c r="O10">
        <f>'Marks Input'!I11</f>
        <v>50</v>
      </c>
      <c r="P10">
        <f>'Marks Input'!J11</f>
        <v>83</v>
      </c>
      <c r="Q10">
        <f>'Marks Input'!M11</f>
        <v>73</v>
      </c>
      <c r="R10">
        <f>'Marks Input'!K11</f>
        <v>93</v>
      </c>
      <c r="S10">
        <f>'Marks Input'!M11</f>
        <v>73</v>
      </c>
      <c r="T10">
        <v>11</v>
      </c>
      <c r="U10">
        <f>'Marks Input'!P11</f>
        <v>548</v>
      </c>
      <c r="V10">
        <f t="shared" si="0"/>
        <v>6</v>
      </c>
      <c r="W10">
        <f t="shared" si="1"/>
        <v>19</v>
      </c>
      <c r="X10">
        <f t="shared" si="2"/>
        <v>1</v>
      </c>
      <c r="Y10">
        <f t="shared" si="3"/>
        <v>26</v>
      </c>
      <c r="Z10">
        <f t="shared" si="4"/>
        <v>12</v>
      </c>
      <c r="AA10">
        <f t="shared" si="5"/>
        <v>13</v>
      </c>
      <c r="AB10">
        <f t="shared" si="6"/>
        <v>7</v>
      </c>
      <c r="AC10">
        <f t="shared" si="7"/>
        <v>4</v>
      </c>
      <c r="AD10">
        <f t="shared" si="8"/>
        <v>7</v>
      </c>
      <c r="AF10">
        <f t="shared" si="9"/>
        <v>10</v>
      </c>
    </row>
    <row r="11" spans="1:32" x14ac:dyDescent="0.3">
      <c r="A11">
        <f>'FM-1'!A11</f>
        <v>9</v>
      </c>
      <c r="B11" t="str">
        <f>'FM-1'!B11</f>
        <v>7TH</v>
      </c>
      <c r="C11">
        <f>'FM-1'!D11</f>
        <v>1008</v>
      </c>
      <c r="D11">
        <f>'FM-1'!C11</f>
        <v>9</v>
      </c>
      <c r="E11" t="str">
        <f>'FM-1'!E11</f>
        <v>Ali9</v>
      </c>
      <c r="F11" t="str">
        <f>'FM-1'!F11</f>
        <v>Khan 9</v>
      </c>
      <c r="G11">
        <f>'FM-1'!G11</f>
        <v>3005327035</v>
      </c>
      <c r="H11">
        <f>'FM-1'!H11</f>
        <v>0</v>
      </c>
      <c r="I11" t="str">
        <f>'FM-1'!I11</f>
        <v>APS Hazro</v>
      </c>
      <c r="J11" t="str">
        <f>'Marks Input'!F12</f>
        <v>ANNUAL EXAM 2024</v>
      </c>
      <c r="K11">
        <f>'Marks Input'!G12</f>
        <v>65</v>
      </c>
      <c r="L11">
        <f>'Marks Input'!H12</f>
        <v>33</v>
      </c>
      <c r="M11">
        <f>'Marks Input'!N12</f>
        <v>20</v>
      </c>
      <c r="N11">
        <f>'Marks Input'!L12</f>
        <v>42</v>
      </c>
      <c r="O11">
        <f>'Marks Input'!I12</f>
        <v>44</v>
      </c>
      <c r="P11">
        <f>'Marks Input'!J12</f>
        <v>40</v>
      </c>
      <c r="Q11">
        <f>'Marks Input'!M12</f>
        <v>43</v>
      </c>
      <c r="R11">
        <f>'Marks Input'!K12</f>
        <v>73</v>
      </c>
      <c r="S11">
        <f>'Marks Input'!M12</f>
        <v>43</v>
      </c>
      <c r="T11">
        <v>11</v>
      </c>
      <c r="U11">
        <f>'Marks Input'!P12</f>
        <v>375</v>
      </c>
      <c r="V11">
        <f t="shared" si="0"/>
        <v>15</v>
      </c>
      <c r="W11">
        <f t="shared" si="1"/>
        <v>19</v>
      </c>
      <c r="X11">
        <f t="shared" si="2"/>
        <v>29</v>
      </c>
      <c r="Y11">
        <f t="shared" si="3"/>
        <v>30</v>
      </c>
      <c r="Z11">
        <f t="shared" si="4"/>
        <v>18</v>
      </c>
      <c r="AA11">
        <f t="shared" si="5"/>
        <v>30</v>
      </c>
      <c r="AB11">
        <f t="shared" si="6"/>
        <v>28</v>
      </c>
      <c r="AC11">
        <f t="shared" si="7"/>
        <v>23</v>
      </c>
      <c r="AD11">
        <f t="shared" si="8"/>
        <v>28</v>
      </c>
      <c r="AF11">
        <f t="shared" si="9"/>
        <v>29</v>
      </c>
    </row>
    <row r="12" spans="1:32" x14ac:dyDescent="0.3">
      <c r="A12">
        <f>'FM-1'!A12</f>
        <v>10</v>
      </c>
      <c r="B12" t="str">
        <f>'FM-1'!B12</f>
        <v>7TH</v>
      </c>
      <c r="C12">
        <f>'FM-1'!D12</f>
        <v>1009</v>
      </c>
      <c r="D12">
        <f>'FM-1'!C12</f>
        <v>10</v>
      </c>
      <c r="E12" t="str">
        <f>'FM-1'!E12</f>
        <v>Ali10</v>
      </c>
      <c r="F12" t="str">
        <f>'FM-1'!F12</f>
        <v>Khan 10</v>
      </c>
      <c r="G12">
        <f>'FM-1'!G12</f>
        <v>3005327076</v>
      </c>
      <c r="H12">
        <f>'FM-1'!H12</f>
        <v>0</v>
      </c>
      <c r="I12" t="str">
        <f>'FM-1'!I12</f>
        <v>APS Hazro</v>
      </c>
      <c r="J12" t="str">
        <f>'Marks Input'!F13</f>
        <v>ANNUAL EXAM 2024</v>
      </c>
      <c r="K12">
        <f>'Marks Input'!G13</f>
        <v>49</v>
      </c>
      <c r="L12">
        <f>'Marks Input'!H13</f>
        <v>33</v>
      </c>
      <c r="M12">
        <f>'Marks Input'!N13</f>
        <v>19</v>
      </c>
      <c r="N12">
        <f>'Marks Input'!L13</f>
        <v>40</v>
      </c>
      <c r="O12">
        <f>'Marks Input'!I13</f>
        <v>40</v>
      </c>
      <c r="P12">
        <f>'Marks Input'!J13</f>
        <v>35</v>
      </c>
      <c r="Q12">
        <f>'Marks Input'!M13</f>
        <v>37</v>
      </c>
      <c r="R12">
        <f>'Marks Input'!K13</f>
        <v>60</v>
      </c>
      <c r="S12">
        <f>'Marks Input'!M13</f>
        <v>37</v>
      </c>
      <c r="T12">
        <v>11</v>
      </c>
      <c r="U12">
        <f>'Marks Input'!P13</f>
        <v>328</v>
      </c>
      <c r="V12">
        <f t="shared" si="0"/>
        <v>31</v>
      </c>
      <c r="W12">
        <f t="shared" si="1"/>
        <v>19</v>
      </c>
      <c r="X12">
        <f t="shared" si="2"/>
        <v>32</v>
      </c>
      <c r="Y12">
        <f t="shared" si="3"/>
        <v>31</v>
      </c>
      <c r="Z12">
        <f t="shared" si="4"/>
        <v>19</v>
      </c>
      <c r="AA12">
        <f t="shared" si="5"/>
        <v>32</v>
      </c>
      <c r="AB12">
        <f t="shared" si="6"/>
        <v>32</v>
      </c>
      <c r="AC12">
        <f t="shared" si="7"/>
        <v>33</v>
      </c>
      <c r="AD12">
        <f t="shared" si="8"/>
        <v>32</v>
      </c>
      <c r="AF12">
        <f t="shared" si="9"/>
        <v>33</v>
      </c>
    </row>
    <row r="13" spans="1:32" x14ac:dyDescent="0.3">
      <c r="A13">
        <f>'FM-1'!A13</f>
        <v>11</v>
      </c>
      <c r="B13" t="str">
        <f>'FM-1'!B13</f>
        <v>7TH</v>
      </c>
      <c r="C13">
        <f>'FM-1'!D13</f>
        <v>1010</v>
      </c>
      <c r="D13">
        <f>'FM-1'!C13</f>
        <v>11</v>
      </c>
      <c r="E13" t="str">
        <f>'FM-1'!E13</f>
        <v>Ali11</v>
      </c>
      <c r="F13" t="str">
        <f>'FM-1'!F13</f>
        <v>Khan 11</v>
      </c>
      <c r="G13">
        <f>'FM-1'!G13</f>
        <v>3005327117</v>
      </c>
      <c r="H13">
        <f>'FM-1'!H13</f>
        <v>0</v>
      </c>
      <c r="I13" t="str">
        <f>'FM-1'!I13</f>
        <v>APS Hazro</v>
      </c>
      <c r="J13" t="str">
        <f>'Marks Input'!F14</f>
        <v>ANNUAL EXAM 2024</v>
      </c>
      <c r="K13">
        <f>'Marks Input'!G14</f>
        <v>40</v>
      </c>
      <c r="L13">
        <f>'Marks Input'!H14</f>
        <v>33</v>
      </c>
      <c r="M13">
        <f>'Marks Input'!N14</f>
        <v>20</v>
      </c>
      <c r="N13">
        <f>'Marks Input'!L14</f>
        <v>56</v>
      </c>
      <c r="O13">
        <f>'Marks Input'!I14</f>
        <v>40</v>
      </c>
      <c r="P13">
        <f>'Marks Input'!J14</f>
        <v>50</v>
      </c>
      <c r="Q13">
        <f>'Marks Input'!M14</f>
        <v>49</v>
      </c>
      <c r="R13">
        <f>'Marks Input'!K14</f>
        <v>62</v>
      </c>
      <c r="S13">
        <f>'Marks Input'!M14</f>
        <v>49</v>
      </c>
      <c r="T13">
        <v>11</v>
      </c>
      <c r="U13">
        <f>'Marks Input'!P14</f>
        <v>365</v>
      </c>
      <c r="V13">
        <f t="shared" si="0"/>
        <v>34</v>
      </c>
      <c r="W13">
        <f t="shared" si="1"/>
        <v>19</v>
      </c>
      <c r="X13">
        <f t="shared" si="2"/>
        <v>29</v>
      </c>
      <c r="Y13">
        <f t="shared" si="3"/>
        <v>17</v>
      </c>
      <c r="Z13">
        <f t="shared" si="4"/>
        <v>19</v>
      </c>
      <c r="AA13">
        <f t="shared" si="5"/>
        <v>27</v>
      </c>
      <c r="AB13">
        <f t="shared" si="6"/>
        <v>22</v>
      </c>
      <c r="AC13">
        <f t="shared" si="7"/>
        <v>30</v>
      </c>
      <c r="AD13">
        <f t="shared" si="8"/>
        <v>22</v>
      </c>
      <c r="AF13">
        <f t="shared" si="9"/>
        <v>31</v>
      </c>
    </row>
    <row r="14" spans="1:32" x14ac:dyDescent="0.3">
      <c r="A14">
        <f>'FM-1'!A14</f>
        <v>12</v>
      </c>
      <c r="B14" t="str">
        <f>'FM-1'!B14</f>
        <v>7TH</v>
      </c>
      <c r="C14">
        <f>'FM-1'!D14</f>
        <v>1011</v>
      </c>
      <c r="D14">
        <f>'FM-1'!C14</f>
        <v>12</v>
      </c>
      <c r="E14" t="str">
        <f>'FM-1'!E14</f>
        <v>Ali12</v>
      </c>
      <c r="F14" t="str">
        <f>'FM-1'!F14</f>
        <v>Khan 12</v>
      </c>
      <c r="G14">
        <f>'FM-1'!G14</f>
        <v>3005327158</v>
      </c>
      <c r="H14">
        <f>'FM-1'!H14</f>
        <v>0</v>
      </c>
      <c r="I14" t="str">
        <f>'FM-1'!I14</f>
        <v>APS Hazro</v>
      </c>
      <c r="J14" t="str">
        <f>'Marks Input'!F15</f>
        <v>ANNUAL EXAM 2024</v>
      </c>
      <c r="K14">
        <f>'Marks Input'!G15</f>
        <v>54</v>
      </c>
      <c r="L14">
        <f>'Marks Input'!H15</f>
        <v>33</v>
      </c>
      <c r="M14">
        <f>'Marks Input'!N15</f>
        <v>18</v>
      </c>
      <c r="N14">
        <f>'Marks Input'!L15</f>
        <v>40</v>
      </c>
      <c r="O14">
        <f>'Marks Input'!I15</f>
        <v>36</v>
      </c>
      <c r="P14">
        <f>'Marks Input'!J15</f>
        <v>35</v>
      </c>
      <c r="Q14">
        <f>'Marks Input'!M15</f>
        <v>35</v>
      </c>
      <c r="R14">
        <f>'Marks Input'!K15</f>
        <v>57</v>
      </c>
      <c r="S14">
        <f>'Marks Input'!M15</f>
        <v>35</v>
      </c>
      <c r="T14">
        <v>11</v>
      </c>
      <c r="U14">
        <f>'Marks Input'!P15</f>
        <v>322</v>
      </c>
      <c r="V14">
        <f t="shared" si="0"/>
        <v>28</v>
      </c>
      <c r="W14">
        <f t="shared" si="1"/>
        <v>19</v>
      </c>
      <c r="X14">
        <f t="shared" si="2"/>
        <v>34</v>
      </c>
      <c r="Y14">
        <f t="shared" si="3"/>
        <v>31</v>
      </c>
      <c r="Z14">
        <f t="shared" si="4"/>
        <v>27</v>
      </c>
      <c r="AA14">
        <f t="shared" si="5"/>
        <v>32</v>
      </c>
      <c r="AB14">
        <f t="shared" si="6"/>
        <v>33</v>
      </c>
      <c r="AC14">
        <f t="shared" si="7"/>
        <v>34</v>
      </c>
      <c r="AD14">
        <f t="shared" si="8"/>
        <v>33</v>
      </c>
      <c r="AF14">
        <f t="shared" si="9"/>
        <v>34</v>
      </c>
    </row>
    <row r="15" spans="1:32" x14ac:dyDescent="0.3">
      <c r="A15">
        <f>'FM-1'!A15</f>
        <v>13</v>
      </c>
      <c r="B15" t="str">
        <f>'FM-1'!B15</f>
        <v>7TH</v>
      </c>
      <c r="C15">
        <f>'FM-1'!D15</f>
        <v>1012</v>
      </c>
      <c r="D15">
        <f>'FM-1'!C15</f>
        <v>13</v>
      </c>
      <c r="E15" t="str">
        <f>'FM-1'!E15</f>
        <v>Ali13</v>
      </c>
      <c r="F15" t="str">
        <f>'FM-1'!F15</f>
        <v>Khan 13</v>
      </c>
      <c r="G15">
        <f>'FM-1'!G15</f>
        <v>3005327199</v>
      </c>
      <c r="H15">
        <f>'FM-1'!H15</f>
        <v>0</v>
      </c>
      <c r="I15" t="str">
        <f>'FM-1'!I15</f>
        <v>APS Hazro</v>
      </c>
      <c r="J15" t="str">
        <f>'Marks Input'!F16</f>
        <v>ANNUAL EXAM 2024</v>
      </c>
      <c r="K15">
        <f>'Marks Input'!G16</f>
        <v>68</v>
      </c>
      <c r="L15">
        <f>'Marks Input'!H16</f>
        <v>33</v>
      </c>
      <c r="M15">
        <f>'Marks Input'!N16</f>
        <v>40</v>
      </c>
      <c r="N15">
        <f>'Marks Input'!L16</f>
        <v>66</v>
      </c>
      <c r="O15">
        <f>'Marks Input'!I16</f>
        <v>40</v>
      </c>
      <c r="P15">
        <f>'Marks Input'!J16</f>
        <v>54</v>
      </c>
      <c r="Q15">
        <f>'Marks Input'!M16</f>
        <v>43</v>
      </c>
      <c r="R15">
        <f>'Marks Input'!K16</f>
        <v>67</v>
      </c>
      <c r="S15">
        <f>'Marks Input'!M16</f>
        <v>43</v>
      </c>
      <c r="T15">
        <v>11</v>
      </c>
      <c r="U15">
        <f>'Marks Input'!P16</f>
        <v>439</v>
      </c>
      <c r="V15">
        <f t="shared" si="0"/>
        <v>9</v>
      </c>
      <c r="W15">
        <f t="shared" si="1"/>
        <v>19</v>
      </c>
      <c r="X15">
        <f t="shared" si="2"/>
        <v>22</v>
      </c>
      <c r="Y15">
        <f t="shared" si="3"/>
        <v>11</v>
      </c>
      <c r="Z15">
        <f t="shared" si="4"/>
        <v>19</v>
      </c>
      <c r="AA15">
        <f t="shared" si="5"/>
        <v>24</v>
      </c>
      <c r="AB15">
        <f t="shared" si="6"/>
        <v>28</v>
      </c>
      <c r="AC15">
        <f t="shared" si="7"/>
        <v>29</v>
      </c>
      <c r="AD15">
        <f t="shared" si="8"/>
        <v>28</v>
      </c>
      <c r="AF15">
        <f t="shared" si="9"/>
        <v>24</v>
      </c>
    </row>
    <row r="16" spans="1:32" x14ac:dyDescent="0.3">
      <c r="A16">
        <f>'FM-1'!A16</f>
        <v>14</v>
      </c>
      <c r="B16" t="str">
        <f>'FM-1'!B16</f>
        <v>7TH</v>
      </c>
      <c r="C16">
        <f>'FM-1'!D16</f>
        <v>1013</v>
      </c>
      <c r="D16">
        <f>'FM-1'!C16</f>
        <v>14</v>
      </c>
      <c r="E16" t="str">
        <f>'FM-1'!E16</f>
        <v>Ali14</v>
      </c>
      <c r="F16" t="str">
        <f>'FM-1'!F16</f>
        <v>Khan 14</v>
      </c>
      <c r="G16">
        <f>'FM-1'!G16</f>
        <v>3005327240</v>
      </c>
      <c r="H16">
        <f>'FM-1'!H16</f>
        <v>0</v>
      </c>
      <c r="I16" t="str">
        <f>'FM-1'!I16</f>
        <v>APS Hazro</v>
      </c>
      <c r="J16" t="str">
        <f>'Marks Input'!F17</f>
        <v>ANNUAL EXAM 2024</v>
      </c>
      <c r="K16">
        <f>'Marks Input'!G17</f>
        <v>46</v>
      </c>
      <c r="L16">
        <f>'Marks Input'!H17</f>
        <v>33</v>
      </c>
      <c r="M16">
        <f>'Marks Input'!N17</f>
        <v>32</v>
      </c>
      <c r="N16">
        <f>'Marks Input'!L17</f>
        <v>50</v>
      </c>
      <c r="O16">
        <f>'Marks Input'!I17</f>
        <v>34</v>
      </c>
      <c r="P16">
        <f>'Marks Input'!J17</f>
        <v>44</v>
      </c>
      <c r="Q16">
        <f>'Marks Input'!M17</f>
        <v>32</v>
      </c>
      <c r="R16">
        <f>'Marks Input'!K17</f>
        <v>73</v>
      </c>
      <c r="S16">
        <f>'Marks Input'!M17</f>
        <v>32</v>
      </c>
      <c r="T16">
        <v>11</v>
      </c>
      <c r="U16">
        <f>'Marks Input'!P17</f>
        <v>374</v>
      </c>
      <c r="V16">
        <f t="shared" si="0"/>
        <v>32</v>
      </c>
      <c r="W16">
        <f t="shared" si="1"/>
        <v>19</v>
      </c>
      <c r="X16">
        <f t="shared" si="2"/>
        <v>25</v>
      </c>
      <c r="Y16">
        <f t="shared" si="3"/>
        <v>25</v>
      </c>
      <c r="Z16">
        <f t="shared" si="4"/>
        <v>31</v>
      </c>
      <c r="AA16">
        <f t="shared" si="5"/>
        <v>29</v>
      </c>
      <c r="AB16">
        <f t="shared" si="6"/>
        <v>34</v>
      </c>
      <c r="AC16">
        <f t="shared" si="7"/>
        <v>23</v>
      </c>
      <c r="AD16">
        <f t="shared" si="8"/>
        <v>34</v>
      </c>
      <c r="AF16">
        <f t="shared" si="9"/>
        <v>30</v>
      </c>
    </row>
    <row r="17" spans="1:32" x14ac:dyDescent="0.3">
      <c r="A17">
        <f>'FM-1'!A17</f>
        <v>15</v>
      </c>
      <c r="B17" t="str">
        <f>'FM-1'!B17</f>
        <v>7TH</v>
      </c>
      <c r="C17">
        <f>'FM-1'!D17</f>
        <v>1014</v>
      </c>
      <c r="D17">
        <f>'FM-1'!C17</f>
        <v>15</v>
      </c>
      <c r="E17" t="str">
        <f>'FM-1'!E17</f>
        <v>Ali15</v>
      </c>
      <c r="F17" t="str">
        <f>'FM-1'!F17</f>
        <v>Khan 15</v>
      </c>
      <c r="G17">
        <f>'FM-1'!G17</f>
        <v>3005327281</v>
      </c>
      <c r="H17">
        <f>'FM-1'!H17</f>
        <v>0</v>
      </c>
      <c r="I17" t="str">
        <f>'FM-1'!I17</f>
        <v>APS Hazro</v>
      </c>
      <c r="J17" t="str">
        <f>'Marks Input'!F18</f>
        <v>ANNUAL EXAM 2024</v>
      </c>
      <c r="K17">
        <f>'Marks Input'!G18</f>
        <v>61</v>
      </c>
      <c r="L17">
        <f>'Marks Input'!H18</f>
        <v>33</v>
      </c>
      <c r="M17">
        <f>'Marks Input'!N18</f>
        <v>19</v>
      </c>
      <c r="N17">
        <f>'Marks Input'!L18</f>
        <v>52</v>
      </c>
      <c r="O17">
        <f>'Marks Input'!I18</f>
        <v>36</v>
      </c>
      <c r="P17">
        <f>'Marks Input'!J18</f>
        <v>70</v>
      </c>
      <c r="Q17">
        <f>'Marks Input'!M18</f>
        <v>47</v>
      </c>
      <c r="R17">
        <f>'Marks Input'!K18</f>
        <v>73</v>
      </c>
      <c r="S17">
        <f>'Marks Input'!M18</f>
        <v>47</v>
      </c>
      <c r="T17">
        <v>11</v>
      </c>
      <c r="U17">
        <f>'Marks Input'!P18</f>
        <v>421</v>
      </c>
      <c r="V17">
        <f t="shared" si="0"/>
        <v>26</v>
      </c>
      <c r="W17">
        <f t="shared" si="1"/>
        <v>19</v>
      </c>
      <c r="X17">
        <f t="shared" si="2"/>
        <v>32</v>
      </c>
      <c r="Y17">
        <f t="shared" si="3"/>
        <v>23</v>
      </c>
      <c r="Z17">
        <f t="shared" si="4"/>
        <v>27</v>
      </c>
      <c r="AA17">
        <f t="shared" si="5"/>
        <v>19</v>
      </c>
      <c r="AB17">
        <f t="shared" si="6"/>
        <v>24</v>
      </c>
      <c r="AC17">
        <f t="shared" si="7"/>
        <v>23</v>
      </c>
      <c r="AD17">
        <f t="shared" si="8"/>
        <v>24</v>
      </c>
      <c r="AF17">
        <f t="shared" si="9"/>
        <v>25</v>
      </c>
    </row>
    <row r="18" spans="1:32" x14ac:dyDescent="0.3">
      <c r="A18">
        <f>'FM-1'!A18</f>
        <v>16</v>
      </c>
      <c r="B18" t="str">
        <f>'FM-1'!B18</f>
        <v>7TH</v>
      </c>
      <c r="C18">
        <f>'FM-1'!D18</f>
        <v>1015</v>
      </c>
      <c r="D18">
        <f>'FM-1'!C18</f>
        <v>16</v>
      </c>
      <c r="E18" t="str">
        <f>'FM-1'!E18</f>
        <v>Ali16</v>
      </c>
      <c r="F18" t="str">
        <f>'FM-1'!F18</f>
        <v>Khan 16</v>
      </c>
      <c r="G18">
        <f>'FM-1'!G18</f>
        <v>3005327322</v>
      </c>
      <c r="H18">
        <f>'FM-1'!H18</f>
        <v>0</v>
      </c>
      <c r="I18" t="str">
        <f>'FM-1'!I18</f>
        <v>APS Hazro</v>
      </c>
      <c r="J18" t="str">
        <f>'Marks Input'!F19</f>
        <v>ANNUAL EXAM 2024</v>
      </c>
      <c r="K18">
        <f>'Marks Input'!G19</f>
        <v>64</v>
      </c>
      <c r="L18">
        <f>'Marks Input'!H19</f>
        <v>52</v>
      </c>
      <c r="M18">
        <f>'Marks Input'!N19</f>
        <v>44</v>
      </c>
      <c r="N18">
        <f>'Marks Input'!L19</f>
        <v>78</v>
      </c>
      <c r="O18">
        <f>'Marks Input'!I19</f>
        <v>54</v>
      </c>
      <c r="P18">
        <f>'Marks Input'!J19</f>
        <v>95</v>
      </c>
      <c r="Q18">
        <f>'Marks Input'!M19</f>
        <v>57</v>
      </c>
      <c r="R18">
        <f>'Marks Input'!K19</f>
        <v>75</v>
      </c>
      <c r="S18">
        <f>'Marks Input'!M19</f>
        <v>57</v>
      </c>
      <c r="T18">
        <v>11</v>
      </c>
      <c r="U18">
        <f>'Marks Input'!P19</f>
        <v>554</v>
      </c>
      <c r="V18">
        <f t="shared" si="0"/>
        <v>18</v>
      </c>
      <c r="W18">
        <f t="shared" si="1"/>
        <v>10</v>
      </c>
      <c r="X18">
        <f t="shared" si="2"/>
        <v>19</v>
      </c>
      <c r="Y18">
        <f t="shared" si="3"/>
        <v>7</v>
      </c>
      <c r="Z18">
        <f t="shared" si="4"/>
        <v>11</v>
      </c>
      <c r="AA18">
        <f t="shared" si="5"/>
        <v>5</v>
      </c>
      <c r="AB18">
        <f t="shared" si="6"/>
        <v>16</v>
      </c>
      <c r="AC18">
        <f t="shared" si="7"/>
        <v>16</v>
      </c>
      <c r="AD18">
        <f t="shared" si="8"/>
        <v>16</v>
      </c>
      <c r="AF18">
        <f t="shared" si="9"/>
        <v>8</v>
      </c>
    </row>
    <row r="19" spans="1:32" x14ac:dyDescent="0.3">
      <c r="A19">
        <f>'FM-1'!A19</f>
        <v>17</v>
      </c>
      <c r="B19" t="str">
        <f>'FM-1'!B19</f>
        <v>7TH</v>
      </c>
      <c r="C19">
        <f>'FM-1'!D19</f>
        <v>1016</v>
      </c>
      <c r="D19">
        <f>'FM-1'!C19</f>
        <v>17</v>
      </c>
      <c r="E19" t="str">
        <f>'FM-1'!E19</f>
        <v>Ali17</v>
      </c>
      <c r="F19" t="str">
        <f>'FM-1'!F19</f>
        <v>Khan 17</v>
      </c>
      <c r="G19">
        <f>'FM-1'!G19</f>
        <v>3005327363</v>
      </c>
      <c r="H19">
        <f>'FM-1'!H19</f>
        <v>0</v>
      </c>
      <c r="I19" t="str">
        <f>'FM-1'!I19</f>
        <v>APS Hazro</v>
      </c>
      <c r="J19" t="str">
        <f>'Marks Input'!F20</f>
        <v>ANNUAL EXAM 2024</v>
      </c>
      <c r="K19">
        <f>'Marks Input'!G20</f>
        <v>54</v>
      </c>
      <c r="L19">
        <f>'Marks Input'!H20</f>
        <v>63</v>
      </c>
      <c r="M19">
        <f>'Marks Input'!N20</f>
        <v>55</v>
      </c>
      <c r="N19">
        <f>'Marks Input'!L20</f>
        <v>64</v>
      </c>
      <c r="O19">
        <f>'Marks Input'!I20</f>
        <v>50</v>
      </c>
      <c r="P19">
        <f>'Marks Input'!J20</f>
        <v>95</v>
      </c>
      <c r="Q19">
        <f>'Marks Input'!M20</f>
        <v>70</v>
      </c>
      <c r="R19">
        <f>'Marks Input'!K20</f>
        <v>75</v>
      </c>
      <c r="S19">
        <f>'Marks Input'!M20</f>
        <v>70</v>
      </c>
      <c r="T19">
        <v>11</v>
      </c>
      <c r="U19">
        <f>'Marks Input'!P20</f>
        <v>562</v>
      </c>
      <c r="V19">
        <f t="shared" si="0"/>
        <v>28</v>
      </c>
      <c r="W19">
        <f t="shared" si="1"/>
        <v>3</v>
      </c>
      <c r="X19">
        <f t="shared" si="2"/>
        <v>10</v>
      </c>
      <c r="Y19">
        <f t="shared" si="3"/>
        <v>13</v>
      </c>
      <c r="Z19">
        <f t="shared" si="4"/>
        <v>12</v>
      </c>
      <c r="AA19">
        <f t="shared" si="5"/>
        <v>5</v>
      </c>
      <c r="AB19">
        <f t="shared" si="6"/>
        <v>9</v>
      </c>
      <c r="AC19">
        <f t="shared" si="7"/>
        <v>16</v>
      </c>
      <c r="AD19">
        <f t="shared" si="8"/>
        <v>9</v>
      </c>
      <c r="AF19">
        <f t="shared" si="9"/>
        <v>7</v>
      </c>
    </row>
    <row r="20" spans="1:32" x14ac:dyDescent="0.3">
      <c r="A20">
        <f>'FM-1'!A20</f>
        <v>18</v>
      </c>
      <c r="B20" t="str">
        <f>'FM-1'!B20</f>
        <v>7TH</v>
      </c>
      <c r="C20">
        <f>'FM-1'!D20</f>
        <v>1017</v>
      </c>
      <c r="D20">
        <f>'FM-1'!C20</f>
        <v>18</v>
      </c>
      <c r="E20" t="str">
        <f>'FM-1'!E20</f>
        <v>Ali18</v>
      </c>
      <c r="F20" t="str">
        <f>'FM-1'!F20</f>
        <v>Khan 18</v>
      </c>
      <c r="G20">
        <f>'FM-1'!G20</f>
        <v>3005327404</v>
      </c>
      <c r="H20">
        <f>'FM-1'!H20</f>
        <v>0</v>
      </c>
      <c r="I20" t="str">
        <f>'FM-1'!I20</f>
        <v>APS Hazro</v>
      </c>
      <c r="J20" t="str">
        <f>'Marks Input'!F21</f>
        <v>ANNUAL EXAM 2024</v>
      </c>
      <c r="K20">
        <f>'Marks Input'!G21</f>
        <v>68</v>
      </c>
      <c r="L20">
        <f>'Marks Input'!H21</f>
        <v>52</v>
      </c>
      <c r="M20">
        <f>'Marks Input'!N21</f>
        <v>50</v>
      </c>
      <c r="N20">
        <f>'Marks Input'!L21</f>
        <v>76</v>
      </c>
      <c r="O20">
        <f>'Marks Input'!I21</f>
        <v>50</v>
      </c>
      <c r="P20">
        <f>'Marks Input'!J21</f>
        <v>89</v>
      </c>
      <c r="Q20">
        <f>'Marks Input'!M21</f>
        <v>91</v>
      </c>
      <c r="R20">
        <f>'Marks Input'!K21</f>
        <v>94</v>
      </c>
      <c r="S20">
        <f>'Marks Input'!M21</f>
        <v>91</v>
      </c>
      <c r="T20">
        <v>11</v>
      </c>
      <c r="U20">
        <f>'Marks Input'!P21</f>
        <v>609</v>
      </c>
      <c r="V20">
        <f t="shared" si="0"/>
        <v>9</v>
      </c>
      <c r="W20">
        <f t="shared" si="1"/>
        <v>10</v>
      </c>
      <c r="X20">
        <f t="shared" si="2"/>
        <v>15</v>
      </c>
      <c r="Y20">
        <f t="shared" si="3"/>
        <v>9</v>
      </c>
      <c r="Z20">
        <f t="shared" si="4"/>
        <v>12</v>
      </c>
      <c r="AA20">
        <f t="shared" si="5"/>
        <v>11</v>
      </c>
      <c r="AB20">
        <f t="shared" si="6"/>
        <v>3</v>
      </c>
      <c r="AC20">
        <f t="shared" si="7"/>
        <v>1</v>
      </c>
      <c r="AD20">
        <f t="shared" si="8"/>
        <v>3</v>
      </c>
      <c r="AF20">
        <f t="shared" si="9"/>
        <v>5</v>
      </c>
    </row>
    <row r="21" spans="1:32" x14ac:dyDescent="0.3">
      <c r="A21">
        <f>'FM-1'!A21</f>
        <v>19</v>
      </c>
      <c r="B21" t="str">
        <f>'FM-1'!B21</f>
        <v>7TH</v>
      </c>
      <c r="C21">
        <f>'FM-1'!D21</f>
        <v>1018</v>
      </c>
      <c r="D21">
        <f>'FM-1'!C21</f>
        <v>19</v>
      </c>
      <c r="E21" t="str">
        <f>'FM-1'!E21</f>
        <v>Ali19</v>
      </c>
      <c r="F21" t="str">
        <f>'FM-1'!F21</f>
        <v>Khan 19</v>
      </c>
      <c r="G21">
        <f>'FM-1'!G21</f>
        <v>3005327445</v>
      </c>
      <c r="H21">
        <f>'FM-1'!H21</f>
        <v>0</v>
      </c>
      <c r="I21" t="str">
        <f>'FM-1'!I21</f>
        <v>APS Hazro</v>
      </c>
      <c r="J21" t="str">
        <f>'Marks Input'!F22</f>
        <v>ANNUAL EXAM 2024</v>
      </c>
      <c r="K21">
        <f>'Marks Input'!G22</f>
        <v>65</v>
      </c>
      <c r="L21">
        <f>'Marks Input'!H22</f>
        <v>33</v>
      </c>
      <c r="M21">
        <f>'Marks Input'!N22</f>
        <v>59</v>
      </c>
      <c r="N21">
        <f>'Marks Input'!L22</f>
        <v>54</v>
      </c>
      <c r="O21">
        <f>'Marks Input'!I22</f>
        <v>36</v>
      </c>
      <c r="P21">
        <f>'Marks Input'!J22</f>
        <v>80</v>
      </c>
      <c r="Q21">
        <f>'Marks Input'!M22</f>
        <v>56</v>
      </c>
      <c r="R21">
        <f>'Marks Input'!K22</f>
        <v>77</v>
      </c>
      <c r="S21">
        <f>'Marks Input'!M22</f>
        <v>56</v>
      </c>
      <c r="T21">
        <v>11</v>
      </c>
      <c r="U21">
        <f>'Marks Input'!P22</f>
        <v>496</v>
      </c>
      <c r="V21">
        <f t="shared" si="0"/>
        <v>15</v>
      </c>
      <c r="W21">
        <f t="shared" si="1"/>
        <v>19</v>
      </c>
      <c r="X21">
        <f t="shared" si="2"/>
        <v>3</v>
      </c>
      <c r="Y21">
        <f t="shared" si="3"/>
        <v>19</v>
      </c>
      <c r="Z21">
        <f t="shared" si="4"/>
        <v>27</v>
      </c>
      <c r="AA21">
        <f t="shared" si="5"/>
        <v>15</v>
      </c>
      <c r="AB21">
        <f t="shared" si="6"/>
        <v>17</v>
      </c>
      <c r="AC21">
        <f t="shared" si="7"/>
        <v>11</v>
      </c>
      <c r="AD21">
        <f t="shared" si="8"/>
        <v>17</v>
      </c>
      <c r="AF21">
        <f t="shared" si="9"/>
        <v>19</v>
      </c>
    </row>
    <row r="22" spans="1:32" x14ac:dyDescent="0.3">
      <c r="A22">
        <f>'FM-1'!A22</f>
        <v>20</v>
      </c>
      <c r="B22" t="str">
        <f>'FM-1'!B22</f>
        <v>7TH</v>
      </c>
      <c r="C22">
        <f>'FM-1'!D22</f>
        <v>1019</v>
      </c>
      <c r="D22">
        <f>'FM-1'!C22</f>
        <v>20</v>
      </c>
      <c r="E22" t="str">
        <f>'FM-1'!E22</f>
        <v>Ali20</v>
      </c>
      <c r="F22" t="str">
        <f>'FM-1'!F22</f>
        <v>Khan 20</v>
      </c>
      <c r="G22">
        <f>'FM-1'!G22</f>
        <v>3005327486</v>
      </c>
      <c r="H22">
        <f>'FM-1'!H22</f>
        <v>0</v>
      </c>
      <c r="I22" t="str">
        <f>'FM-1'!I22</f>
        <v>APS Hazro</v>
      </c>
      <c r="J22" t="str">
        <f>'Marks Input'!F23</f>
        <v>ANNUAL EXAM 2024</v>
      </c>
      <c r="K22">
        <f>'Marks Input'!G23</f>
        <v>45</v>
      </c>
      <c r="L22">
        <f>'Marks Input'!H23</f>
        <v>33</v>
      </c>
      <c r="M22">
        <f>'Marks Input'!N23</f>
        <v>20</v>
      </c>
      <c r="N22">
        <f>'Marks Input'!L23</f>
        <v>44</v>
      </c>
      <c r="O22">
        <f>'Marks Input'!I23</f>
        <v>34</v>
      </c>
      <c r="P22">
        <f>'Marks Input'!J23</f>
        <v>34</v>
      </c>
      <c r="Q22">
        <f>'Marks Input'!M23</f>
        <v>40</v>
      </c>
      <c r="R22">
        <f>'Marks Input'!K23</f>
        <v>62</v>
      </c>
      <c r="S22">
        <f>'Marks Input'!M23</f>
        <v>40</v>
      </c>
      <c r="T22">
        <v>11</v>
      </c>
      <c r="U22">
        <f>'Marks Input'!P23</f>
        <v>334</v>
      </c>
      <c r="V22">
        <f t="shared" si="0"/>
        <v>33</v>
      </c>
      <c r="W22">
        <f t="shared" si="1"/>
        <v>19</v>
      </c>
      <c r="X22">
        <f t="shared" si="2"/>
        <v>29</v>
      </c>
      <c r="Y22">
        <f t="shared" si="3"/>
        <v>28</v>
      </c>
      <c r="Z22">
        <f t="shared" si="4"/>
        <v>31</v>
      </c>
      <c r="AA22">
        <f t="shared" si="5"/>
        <v>34</v>
      </c>
      <c r="AB22">
        <f t="shared" si="6"/>
        <v>31</v>
      </c>
      <c r="AC22">
        <f t="shared" si="7"/>
        <v>30</v>
      </c>
      <c r="AD22">
        <f t="shared" si="8"/>
        <v>31</v>
      </c>
      <c r="AF22">
        <f t="shared" si="9"/>
        <v>32</v>
      </c>
    </row>
    <row r="23" spans="1:32" x14ac:dyDescent="0.3">
      <c r="A23">
        <f>'FM-1'!A23</f>
        <v>21</v>
      </c>
      <c r="B23" t="str">
        <f>'FM-1'!B23</f>
        <v>7TH</v>
      </c>
      <c r="C23">
        <f>'FM-1'!D23</f>
        <v>1020</v>
      </c>
      <c r="D23">
        <f>'FM-1'!C23</f>
        <v>21</v>
      </c>
      <c r="E23" t="str">
        <f>'FM-1'!E23</f>
        <v>Ali21</v>
      </c>
      <c r="F23" t="str">
        <f>'FM-1'!F23</f>
        <v>Khan 21</v>
      </c>
      <c r="G23">
        <f>'FM-1'!G23</f>
        <v>3005327527</v>
      </c>
      <c r="H23">
        <f>'FM-1'!H23</f>
        <v>0</v>
      </c>
      <c r="I23" t="str">
        <f>'FM-1'!I23</f>
        <v>APS Hazro</v>
      </c>
      <c r="J23" t="str">
        <f>'Marks Input'!F24</f>
        <v>ANNUAL EXAM 2024</v>
      </c>
      <c r="K23">
        <f>'Marks Input'!G24</f>
        <v>63</v>
      </c>
      <c r="L23">
        <f>'Marks Input'!H24</f>
        <v>40</v>
      </c>
      <c r="M23">
        <f>'Marks Input'!N24</f>
        <v>58</v>
      </c>
      <c r="N23">
        <f>'Marks Input'!L24</f>
        <v>54</v>
      </c>
      <c r="O23">
        <f>'Marks Input'!I24</f>
        <v>60</v>
      </c>
      <c r="P23">
        <f>'Marks Input'!J24</f>
        <v>96</v>
      </c>
      <c r="Q23">
        <f>'Marks Input'!M24</f>
        <v>61</v>
      </c>
      <c r="R23">
        <f>'Marks Input'!K24</f>
        <v>76</v>
      </c>
      <c r="S23">
        <f>'Marks Input'!M24</f>
        <v>61</v>
      </c>
      <c r="T23">
        <v>11</v>
      </c>
      <c r="U23">
        <f>'Marks Input'!P24</f>
        <v>548</v>
      </c>
      <c r="V23">
        <f t="shared" si="0"/>
        <v>22</v>
      </c>
      <c r="W23">
        <f t="shared" si="1"/>
        <v>15</v>
      </c>
      <c r="X23">
        <f t="shared" si="2"/>
        <v>5</v>
      </c>
      <c r="Y23">
        <f t="shared" si="3"/>
        <v>19</v>
      </c>
      <c r="Z23">
        <f t="shared" si="4"/>
        <v>4</v>
      </c>
      <c r="AA23">
        <f t="shared" si="5"/>
        <v>1</v>
      </c>
      <c r="AB23">
        <f t="shared" si="6"/>
        <v>10</v>
      </c>
      <c r="AC23">
        <f t="shared" si="7"/>
        <v>14</v>
      </c>
      <c r="AD23">
        <f t="shared" si="8"/>
        <v>10</v>
      </c>
      <c r="AF23">
        <f t="shared" si="9"/>
        <v>10</v>
      </c>
    </row>
    <row r="24" spans="1:32" x14ac:dyDescent="0.3">
      <c r="A24">
        <f>'FM-1'!A24</f>
        <v>22</v>
      </c>
      <c r="B24" t="str">
        <f>'FM-1'!B24</f>
        <v>7TH</v>
      </c>
      <c r="C24">
        <f>'FM-1'!D24</f>
        <v>1021</v>
      </c>
      <c r="D24">
        <f>'FM-1'!C24</f>
        <v>22</v>
      </c>
      <c r="E24" t="str">
        <f>'FM-1'!E24</f>
        <v>Ali22</v>
      </c>
      <c r="F24" t="str">
        <f>'FM-1'!F24</f>
        <v>Khan 22</v>
      </c>
      <c r="G24">
        <f>'FM-1'!G24</f>
        <v>3005327568</v>
      </c>
      <c r="H24">
        <f>'FM-1'!H24</f>
        <v>0</v>
      </c>
      <c r="I24" t="str">
        <f>'FM-1'!I24</f>
        <v>APS Hazro</v>
      </c>
      <c r="J24" t="str">
        <f>'Marks Input'!F25</f>
        <v>ANNUAL EXAM 2024</v>
      </c>
      <c r="K24">
        <f>'Marks Input'!G25</f>
        <v>72</v>
      </c>
      <c r="L24">
        <f>'Marks Input'!H25</f>
        <v>65</v>
      </c>
      <c r="M24">
        <f>'Marks Input'!N25</f>
        <v>52</v>
      </c>
      <c r="N24">
        <f>'Marks Input'!L25</f>
        <v>98</v>
      </c>
      <c r="O24">
        <f>'Marks Input'!I25</f>
        <v>56</v>
      </c>
      <c r="P24">
        <f>'Marks Input'!J25</f>
        <v>96</v>
      </c>
      <c r="Q24">
        <f>'Marks Input'!M25</f>
        <v>81</v>
      </c>
      <c r="R24">
        <f>'Marks Input'!K25</f>
        <v>94</v>
      </c>
      <c r="S24">
        <f>'Marks Input'!M25</f>
        <v>81</v>
      </c>
      <c r="T24">
        <v>11</v>
      </c>
      <c r="U24">
        <f>'Marks Input'!P25</f>
        <v>654</v>
      </c>
      <c r="V24">
        <f t="shared" si="0"/>
        <v>1</v>
      </c>
      <c r="W24">
        <f t="shared" si="1"/>
        <v>2</v>
      </c>
      <c r="X24">
        <f t="shared" si="2"/>
        <v>12</v>
      </c>
      <c r="Y24">
        <f t="shared" si="3"/>
        <v>1</v>
      </c>
      <c r="Z24">
        <f t="shared" si="4"/>
        <v>10</v>
      </c>
      <c r="AA24">
        <f t="shared" si="5"/>
        <v>1</v>
      </c>
      <c r="AB24">
        <f t="shared" si="6"/>
        <v>4</v>
      </c>
      <c r="AC24">
        <f t="shared" si="7"/>
        <v>1</v>
      </c>
      <c r="AD24">
        <f t="shared" si="8"/>
        <v>4</v>
      </c>
      <c r="AF24">
        <f t="shared" si="9"/>
        <v>3</v>
      </c>
    </row>
    <row r="25" spans="1:32" x14ac:dyDescent="0.3">
      <c r="A25">
        <f>'FM-1'!A25</f>
        <v>23</v>
      </c>
      <c r="B25" t="str">
        <f>'FM-1'!B25</f>
        <v>7TH</v>
      </c>
      <c r="C25">
        <f>'FM-1'!D25</f>
        <v>1022</v>
      </c>
      <c r="D25">
        <f>'FM-1'!C25</f>
        <v>23</v>
      </c>
      <c r="E25" t="str">
        <f>'FM-1'!E25</f>
        <v>Ali23</v>
      </c>
      <c r="F25" t="str">
        <f>'FM-1'!F25</f>
        <v>Khan 23</v>
      </c>
      <c r="G25">
        <f>'FM-1'!G25</f>
        <v>3005327609</v>
      </c>
      <c r="H25">
        <f>'FM-1'!H25</f>
        <v>0</v>
      </c>
      <c r="I25" t="str">
        <f>'FM-1'!I25</f>
        <v>APS Hazro</v>
      </c>
      <c r="J25" t="str">
        <f>'Marks Input'!F26</f>
        <v>ANNUAL EXAM 2024</v>
      </c>
      <c r="K25">
        <f>'Marks Input'!G26</f>
        <v>67</v>
      </c>
      <c r="L25">
        <f>'Marks Input'!H26</f>
        <v>42</v>
      </c>
      <c r="M25">
        <f>'Marks Input'!N26</f>
        <v>41</v>
      </c>
      <c r="N25">
        <f>'Marks Input'!L26</f>
        <v>46</v>
      </c>
      <c r="O25">
        <f>'Marks Input'!I26</f>
        <v>60</v>
      </c>
      <c r="P25">
        <f>'Marks Input'!J26</f>
        <v>78</v>
      </c>
      <c r="Q25">
        <f>'Marks Input'!M26</f>
        <v>49</v>
      </c>
      <c r="R25">
        <f>'Marks Input'!K26</f>
        <v>74</v>
      </c>
      <c r="S25">
        <f>'Marks Input'!M26</f>
        <v>49</v>
      </c>
      <c r="T25">
        <v>11</v>
      </c>
      <c r="U25">
        <f>'Marks Input'!P26</f>
        <v>482</v>
      </c>
      <c r="V25">
        <f t="shared" si="0"/>
        <v>14</v>
      </c>
      <c r="W25">
        <f t="shared" si="1"/>
        <v>14</v>
      </c>
      <c r="X25">
        <f t="shared" si="2"/>
        <v>21</v>
      </c>
      <c r="Y25">
        <f t="shared" si="3"/>
        <v>27</v>
      </c>
      <c r="Z25">
        <f t="shared" si="4"/>
        <v>4</v>
      </c>
      <c r="AA25">
        <f t="shared" si="5"/>
        <v>16</v>
      </c>
      <c r="AB25">
        <f t="shared" si="6"/>
        <v>22</v>
      </c>
      <c r="AC25">
        <f t="shared" si="7"/>
        <v>21</v>
      </c>
      <c r="AD25">
        <f t="shared" si="8"/>
        <v>22</v>
      </c>
      <c r="AF25">
        <f t="shared" si="9"/>
        <v>22</v>
      </c>
    </row>
    <row r="26" spans="1:32" x14ac:dyDescent="0.3">
      <c r="A26">
        <f>'FM-1'!A26</f>
        <v>24</v>
      </c>
      <c r="B26" t="str">
        <f>'FM-1'!B26</f>
        <v>7TH</v>
      </c>
      <c r="C26">
        <f>'FM-1'!D26</f>
        <v>1023</v>
      </c>
      <c r="D26">
        <f>'FM-1'!C26</f>
        <v>24</v>
      </c>
      <c r="E26" t="str">
        <f>'FM-1'!E26</f>
        <v>Ali24</v>
      </c>
      <c r="F26" t="str">
        <f>'FM-1'!F26</f>
        <v>Khan 24</v>
      </c>
      <c r="G26">
        <f>'FM-1'!G26</f>
        <v>3005327650</v>
      </c>
      <c r="H26">
        <f>'FM-1'!H26</f>
        <v>0</v>
      </c>
      <c r="I26" t="str">
        <f>'FM-1'!I26</f>
        <v>APS Hazro</v>
      </c>
      <c r="J26" t="str">
        <f>'Marks Input'!F27</f>
        <v>ANNUAL EXAM 2024</v>
      </c>
      <c r="K26">
        <f>'Marks Input'!G27</f>
        <v>54</v>
      </c>
      <c r="L26">
        <f>'Marks Input'!H27</f>
        <v>33</v>
      </c>
      <c r="M26">
        <f>'Marks Input'!N27</f>
        <v>52</v>
      </c>
      <c r="N26">
        <f>'Marks Input'!L27</f>
        <v>84</v>
      </c>
      <c r="O26">
        <f>'Marks Input'!I27</f>
        <v>34</v>
      </c>
      <c r="P26">
        <f>'Marks Input'!J27</f>
        <v>74</v>
      </c>
      <c r="Q26">
        <f>'Marks Input'!M27</f>
        <v>73</v>
      </c>
      <c r="R26">
        <f>'Marks Input'!K27</f>
        <v>77</v>
      </c>
      <c r="S26">
        <f>'Marks Input'!M27</f>
        <v>73</v>
      </c>
      <c r="T26">
        <v>11</v>
      </c>
      <c r="U26">
        <f>'Marks Input'!P27</f>
        <v>511</v>
      </c>
      <c r="V26">
        <f t="shared" si="0"/>
        <v>28</v>
      </c>
      <c r="W26">
        <f t="shared" si="1"/>
        <v>19</v>
      </c>
      <c r="X26">
        <f t="shared" si="2"/>
        <v>12</v>
      </c>
      <c r="Y26">
        <f t="shared" si="3"/>
        <v>6</v>
      </c>
      <c r="Z26">
        <f t="shared" si="4"/>
        <v>31</v>
      </c>
      <c r="AA26">
        <f t="shared" si="5"/>
        <v>18</v>
      </c>
      <c r="AB26">
        <f t="shared" si="6"/>
        <v>7</v>
      </c>
      <c r="AC26">
        <f t="shared" si="7"/>
        <v>11</v>
      </c>
      <c r="AD26">
        <f t="shared" si="8"/>
        <v>7</v>
      </c>
      <c r="AF26">
        <f t="shared" si="9"/>
        <v>14</v>
      </c>
    </row>
    <row r="27" spans="1:32" x14ac:dyDescent="0.3">
      <c r="A27">
        <f>'FM-1'!A27</f>
        <v>25</v>
      </c>
      <c r="B27" t="str">
        <f>'FM-1'!B27</f>
        <v>7TH</v>
      </c>
      <c r="C27">
        <f>'FM-1'!D27</f>
        <v>1024</v>
      </c>
      <c r="D27">
        <f>'FM-1'!C27</f>
        <v>25</v>
      </c>
      <c r="E27" t="str">
        <f>'FM-1'!E27</f>
        <v>Ali25</v>
      </c>
      <c r="F27" t="str">
        <f>'FM-1'!F27</f>
        <v>Khan 25</v>
      </c>
      <c r="G27">
        <f>'FM-1'!G27</f>
        <v>3005327691</v>
      </c>
      <c r="H27">
        <f>'FM-1'!H27</f>
        <v>0</v>
      </c>
      <c r="I27" t="str">
        <f>'FM-1'!I27</f>
        <v>APS Hazro</v>
      </c>
      <c r="J27" t="str">
        <f>'Marks Input'!F28</f>
        <v>ANNUAL EXAM 2024</v>
      </c>
      <c r="K27">
        <f>'Marks Input'!G28</f>
        <v>70</v>
      </c>
      <c r="L27">
        <f>'Marks Input'!H28</f>
        <v>62</v>
      </c>
      <c r="M27">
        <f>'Marks Input'!N28</f>
        <v>60</v>
      </c>
      <c r="N27">
        <f>'Marks Input'!L28</f>
        <v>88</v>
      </c>
      <c r="O27">
        <f>'Marks Input'!I28</f>
        <v>60</v>
      </c>
      <c r="P27">
        <f>'Marks Input'!J28</f>
        <v>95</v>
      </c>
      <c r="Q27">
        <f>'Marks Input'!M28</f>
        <v>94</v>
      </c>
      <c r="R27">
        <f>'Marks Input'!K28</f>
        <v>94</v>
      </c>
      <c r="S27">
        <f>'Marks Input'!M28</f>
        <v>94</v>
      </c>
      <c r="T27">
        <v>11</v>
      </c>
      <c r="U27">
        <f>'Marks Input'!P28</f>
        <v>663</v>
      </c>
      <c r="V27">
        <f t="shared" si="0"/>
        <v>3</v>
      </c>
      <c r="W27">
        <f t="shared" si="1"/>
        <v>4</v>
      </c>
      <c r="X27">
        <f t="shared" si="2"/>
        <v>1</v>
      </c>
      <c r="Y27">
        <f t="shared" si="3"/>
        <v>4</v>
      </c>
      <c r="Z27">
        <f t="shared" si="4"/>
        <v>4</v>
      </c>
      <c r="AA27">
        <f t="shared" si="5"/>
        <v>5</v>
      </c>
      <c r="AB27">
        <f t="shared" si="6"/>
        <v>1</v>
      </c>
      <c r="AC27">
        <f t="shared" si="7"/>
        <v>1</v>
      </c>
      <c r="AD27">
        <f t="shared" si="8"/>
        <v>1</v>
      </c>
      <c r="AF27">
        <f t="shared" si="9"/>
        <v>2</v>
      </c>
    </row>
    <row r="28" spans="1:32" x14ac:dyDescent="0.3">
      <c r="A28">
        <f>'FM-1'!A28</f>
        <v>26</v>
      </c>
      <c r="B28" t="str">
        <f>'FM-1'!B28</f>
        <v>7TH</v>
      </c>
      <c r="C28">
        <f>'FM-1'!D28</f>
        <v>1025</v>
      </c>
      <c r="D28">
        <f>'FM-1'!C28</f>
        <v>26</v>
      </c>
      <c r="E28" t="str">
        <f>'FM-1'!E28</f>
        <v>Ali26</v>
      </c>
      <c r="F28" t="str">
        <f>'FM-1'!F28</f>
        <v>Khan 26</v>
      </c>
      <c r="G28">
        <f>'FM-1'!G28</f>
        <v>3005327732</v>
      </c>
      <c r="H28">
        <f>'FM-1'!H28</f>
        <v>0</v>
      </c>
      <c r="I28" t="str">
        <f>'FM-1'!I28</f>
        <v>APS Hazro</v>
      </c>
      <c r="J28" t="str">
        <f>'Marks Input'!F29</f>
        <v>ANNUAL EXAM 2024</v>
      </c>
      <c r="K28">
        <f>'Marks Input'!G29</f>
        <v>64</v>
      </c>
      <c r="L28">
        <f>'Marks Input'!H29</f>
        <v>44</v>
      </c>
      <c r="M28">
        <f>'Marks Input'!N29</f>
        <v>45</v>
      </c>
      <c r="N28">
        <f>'Marks Input'!L29</f>
        <v>66</v>
      </c>
      <c r="O28">
        <f>'Marks Input'!I29</f>
        <v>40</v>
      </c>
      <c r="P28">
        <f>'Marks Input'!J29</f>
        <v>70</v>
      </c>
      <c r="Q28">
        <f>'Marks Input'!M29</f>
        <v>75</v>
      </c>
      <c r="R28">
        <f>'Marks Input'!K29</f>
        <v>73</v>
      </c>
      <c r="S28">
        <f>'Marks Input'!M29</f>
        <v>75</v>
      </c>
      <c r="T28">
        <v>11</v>
      </c>
      <c r="U28">
        <f>'Marks Input'!P29</f>
        <v>509</v>
      </c>
      <c r="V28">
        <f t="shared" si="0"/>
        <v>18</v>
      </c>
      <c r="W28">
        <f t="shared" si="1"/>
        <v>13</v>
      </c>
      <c r="X28">
        <f t="shared" si="2"/>
        <v>17</v>
      </c>
      <c r="Y28">
        <f t="shared" si="3"/>
        <v>11</v>
      </c>
      <c r="Z28">
        <f t="shared" si="4"/>
        <v>19</v>
      </c>
      <c r="AA28">
        <f t="shared" si="5"/>
        <v>19</v>
      </c>
      <c r="AB28">
        <f t="shared" si="6"/>
        <v>5</v>
      </c>
      <c r="AC28">
        <f t="shared" si="7"/>
        <v>23</v>
      </c>
      <c r="AD28">
        <f t="shared" si="8"/>
        <v>5</v>
      </c>
      <c r="AF28">
        <f t="shared" si="9"/>
        <v>15</v>
      </c>
    </row>
    <row r="29" spans="1:32" x14ac:dyDescent="0.3">
      <c r="A29">
        <f>'FM-1'!A29</f>
        <v>27</v>
      </c>
      <c r="B29" t="str">
        <f>'FM-1'!B29</f>
        <v>7TH</v>
      </c>
      <c r="C29">
        <f>'FM-1'!D29</f>
        <v>1026</v>
      </c>
      <c r="D29">
        <f>'FM-1'!C29</f>
        <v>27</v>
      </c>
      <c r="E29" t="str">
        <f>'FM-1'!E29</f>
        <v>Ali27</v>
      </c>
      <c r="F29" t="str">
        <f>'FM-1'!F29</f>
        <v>Khan 27</v>
      </c>
      <c r="G29">
        <f>'FM-1'!G29</f>
        <v>3005327773</v>
      </c>
      <c r="H29">
        <f>'FM-1'!H29</f>
        <v>0</v>
      </c>
      <c r="I29" t="str">
        <f>'FM-1'!I29</f>
        <v>APS Hazro</v>
      </c>
      <c r="J29" t="str">
        <f>'Marks Input'!F30</f>
        <v>ANNUAL EXAM 2024</v>
      </c>
      <c r="K29">
        <f>'Marks Input'!G30</f>
        <v>70</v>
      </c>
      <c r="L29">
        <f>'Marks Input'!H30</f>
        <v>74</v>
      </c>
      <c r="M29">
        <f>'Marks Input'!N30</f>
        <v>59</v>
      </c>
      <c r="N29">
        <f>'Marks Input'!L30</f>
        <v>85</v>
      </c>
      <c r="O29">
        <f>'Marks Input'!I30</f>
        <v>64</v>
      </c>
      <c r="P29">
        <f>'Marks Input'!J30</f>
        <v>96</v>
      </c>
      <c r="Q29">
        <f>'Marks Input'!M30</f>
        <v>93</v>
      </c>
      <c r="R29">
        <f>'Marks Input'!K30</f>
        <v>92</v>
      </c>
      <c r="S29">
        <f>'Marks Input'!M30</f>
        <v>93</v>
      </c>
      <c r="T29">
        <v>11</v>
      </c>
      <c r="U29">
        <f>'Marks Input'!P30</f>
        <v>673</v>
      </c>
      <c r="V29">
        <f t="shared" si="0"/>
        <v>3</v>
      </c>
      <c r="W29">
        <f t="shared" si="1"/>
        <v>1</v>
      </c>
      <c r="X29">
        <f t="shared" si="2"/>
        <v>3</v>
      </c>
      <c r="Y29">
        <f t="shared" si="3"/>
        <v>5</v>
      </c>
      <c r="Z29">
        <f t="shared" si="4"/>
        <v>3</v>
      </c>
      <c r="AA29">
        <f t="shared" si="5"/>
        <v>1</v>
      </c>
      <c r="AB29">
        <f t="shared" si="6"/>
        <v>2</v>
      </c>
      <c r="AC29">
        <f t="shared" si="7"/>
        <v>5</v>
      </c>
      <c r="AD29">
        <f t="shared" si="8"/>
        <v>2</v>
      </c>
      <c r="AF29">
        <f t="shared" si="9"/>
        <v>1</v>
      </c>
    </row>
    <row r="30" spans="1:32" x14ac:dyDescent="0.3">
      <c r="A30">
        <f>'FM-1'!A30</f>
        <v>28</v>
      </c>
      <c r="B30" t="str">
        <f>'FM-1'!B30</f>
        <v>7TH</v>
      </c>
      <c r="C30">
        <f>'FM-1'!D30</f>
        <v>1027</v>
      </c>
      <c r="D30">
        <f>'FM-1'!C30</f>
        <v>28</v>
      </c>
      <c r="E30" t="str">
        <f>'FM-1'!E30</f>
        <v>Ali28</v>
      </c>
      <c r="F30" t="str">
        <f>'FM-1'!F30</f>
        <v>Khan 28</v>
      </c>
      <c r="G30">
        <f>'FM-1'!G30</f>
        <v>3005327814</v>
      </c>
      <c r="H30">
        <f>'FM-1'!H30</f>
        <v>0</v>
      </c>
      <c r="I30" t="str">
        <f>'FM-1'!I30</f>
        <v>APS Hazro</v>
      </c>
      <c r="J30" t="str">
        <f>'Marks Input'!F31</f>
        <v>ANNUAL EXAM 2024</v>
      </c>
      <c r="K30">
        <f>'Marks Input'!G31</f>
        <v>68</v>
      </c>
      <c r="L30">
        <f>'Marks Input'!H31</f>
        <v>33</v>
      </c>
      <c r="M30">
        <f>'Marks Input'!N31</f>
        <v>28</v>
      </c>
      <c r="N30">
        <f>'Marks Input'!L31</f>
        <v>90</v>
      </c>
      <c r="O30">
        <f>'Marks Input'!I31</f>
        <v>60</v>
      </c>
      <c r="P30">
        <f>'Marks Input'!J31</f>
        <v>60</v>
      </c>
      <c r="Q30">
        <f>'Marks Input'!M31</f>
        <v>46</v>
      </c>
      <c r="R30">
        <f>'Marks Input'!K31</f>
        <v>75</v>
      </c>
      <c r="S30">
        <f>'Marks Input'!M31</f>
        <v>46</v>
      </c>
      <c r="T30">
        <v>11</v>
      </c>
      <c r="U30">
        <f>'Marks Input'!P31</f>
        <v>490</v>
      </c>
      <c r="V30">
        <f t="shared" si="0"/>
        <v>9</v>
      </c>
      <c r="W30">
        <f t="shared" si="1"/>
        <v>19</v>
      </c>
      <c r="X30">
        <f t="shared" si="2"/>
        <v>28</v>
      </c>
      <c r="Y30">
        <f t="shared" si="3"/>
        <v>2</v>
      </c>
      <c r="Z30">
        <f t="shared" si="4"/>
        <v>4</v>
      </c>
      <c r="AA30">
        <f t="shared" si="5"/>
        <v>23</v>
      </c>
      <c r="AB30">
        <f t="shared" si="6"/>
        <v>25</v>
      </c>
      <c r="AC30">
        <f t="shared" si="7"/>
        <v>16</v>
      </c>
      <c r="AD30">
        <f t="shared" si="8"/>
        <v>25</v>
      </c>
      <c r="AF30">
        <f t="shared" si="9"/>
        <v>20</v>
      </c>
    </row>
    <row r="31" spans="1:32" x14ac:dyDescent="0.3">
      <c r="A31">
        <f>'FM-1'!A31</f>
        <v>29</v>
      </c>
      <c r="B31" t="str">
        <f>'FM-1'!B31</f>
        <v>7TH</v>
      </c>
      <c r="C31">
        <f>'FM-1'!D31</f>
        <v>1028</v>
      </c>
      <c r="D31">
        <f>'FM-1'!C31</f>
        <v>29</v>
      </c>
      <c r="E31" t="str">
        <f>'FM-1'!E31</f>
        <v>Ali29</v>
      </c>
      <c r="F31" t="str">
        <f>'FM-1'!F31</f>
        <v>Khan 29</v>
      </c>
      <c r="G31">
        <f>'FM-1'!G31</f>
        <v>3005327855</v>
      </c>
      <c r="H31">
        <f>'FM-1'!H31</f>
        <v>0</v>
      </c>
      <c r="I31" t="str">
        <f>'FM-1'!I31</f>
        <v>APS Hazro</v>
      </c>
      <c r="J31" t="str">
        <f>'Marks Input'!F32</f>
        <v>ANNUAL EXAM 2024</v>
      </c>
      <c r="K31">
        <f>'Marks Input'!G32</f>
        <v>69</v>
      </c>
      <c r="L31">
        <f>'Marks Input'!H32</f>
        <v>61</v>
      </c>
      <c r="M31">
        <f>'Marks Input'!N32</f>
        <v>45</v>
      </c>
      <c r="N31">
        <f>'Marks Input'!L32</f>
        <v>52</v>
      </c>
      <c r="O31">
        <f>'Marks Input'!I32</f>
        <v>50</v>
      </c>
      <c r="P31">
        <f>'Marks Input'!J32</f>
        <v>84</v>
      </c>
      <c r="Q31">
        <f>'Marks Input'!M32</f>
        <v>41</v>
      </c>
      <c r="R31">
        <f>'Marks Input'!K32</f>
        <v>75</v>
      </c>
      <c r="S31">
        <f>'Marks Input'!M32</f>
        <v>41</v>
      </c>
      <c r="T31">
        <v>11</v>
      </c>
      <c r="U31">
        <f>'Marks Input'!P32</f>
        <v>505</v>
      </c>
      <c r="V31">
        <f t="shared" si="0"/>
        <v>6</v>
      </c>
      <c r="W31">
        <f t="shared" si="1"/>
        <v>6</v>
      </c>
      <c r="X31">
        <f t="shared" si="2"/>
        <v>17</v>
      </c>
      <c r="Y31">
        <f t="shared" si="3"/>
        <v>23</v>
      </c>
      <c r="Z31">
        <f t="shared" si="4"/>
        <v>12</v>
      </c>
      <c r="AA31">
        <f t="shared" si="5"/>
        <v>12</v>
      </c>
      <c r="AB31">
        <f t="shared" si="6"/>
        <v>30</v>
      </c>
      <c r="AC31">
        <f t="shared" si="7"/>
        <v>16</v>
      </c>
      <c r="AD31">
        <f t="shared" si="8"/>
        <v>30</v>
      </c>
      <c r="AF31">
        <f t="shared" si="9"/>
        <v>16</v>
      </c>
    </row>
    <row r="32" spans="1:32" x14ac:dyDescent="0.3">
      <c r="A32">
        <f>'FM-1'!A32</f>
        <v>30</v>
      </c>
      <c r="B32" t="str">
        <f>'FM-1'!B32</f>
        <v>7TH</v>
      </c>
      <c r="C32">
        <f>'FM-1'!D32</f>
        <v>1029</v>
      </c>
      <c r="D32">
        <f>'FM-1'!C32</f>
        <v>30</v>
      </c>
      <c r="E32" t="str">
        <f>'FM-1'!E32</f>
        <v>Ali30</v>
      </c>
      <c r="F32" t="str">
        <f>'FM-1'!F32</f>
        <v>Khan 30</v>
      </c>
      <c r="G32">
        <f>'FM-1'!G32</f>
        <v>3005327896</v>
      </c>
      <c r="H32">
        <f>'FM-1'!H32</f>
        <v>0</v>
      </c>
      <c r="I32" t="str">
        <f>'FM-1'!I32</f>
        <v>APS Hazro</v>
      </c>
      <c r="J32" t="str">
        <f>'Marks Input'!F33</f>
        <v>ANNUAL EXAM 2024</v>
      </c>
      <c r="K32">
        <f>'Marks Input'!G33</f>
        <v>55</v>
      </c>
      <c r="L32">
        <f>'Marks Input'!H33</f>
        <v>33</v>
      </c>
      <c r="M32">
        <f>'Marks Input'!N33</f>
        <v>31</v>
      </c>
      <c r="N32">
        <f>'Marks Input'!L33</f>
        <v>44</v>
      </c>
      <c r="O32">
        <f>'Marks Input'!I33</f>
        <v>36</v>
      </c>
      <c r="P32">
        <f>'Marks Input'!J33</f>
        <v>52</v>
      </c>
      <c r="Q32">
        <f>'Marks Input'!M33</f>
        <v>54</v>
      </c>
      <c r="R32">
        <f>'Marks Input'!K33</f>
        <v>69</v>
      </c>
      <c r="S32">
        <f>'Marks Input'!M33</f>
        <v>54</v>
      </c>
      <c r="T32">
        <v>11</v>
      </c>
      <c r="U32">
        <f>'Marks Input'!P33</f>
        <v>401</v>
      </c>
      <c r="V32">
        <f t="shared" si="0"/>
        <v>27</v>
      </c>
      <c r="W32">
        <f t="shared" si="1"/>
        <v>19</v>
      </c>
      <c r="X32">
        <f t="shared" si="2"/>
        <v>26</v>
      </c>
      <c r="Y32">
        <f t="shared" si="3"/>
        <v>28</v>
      </c>
      <c r="Z32">
        <f t="shared" si="4"/>
        <v>27</v>
      </c>
      <c r="AA32">
        <f t="shared" si="5"/>
        <v>26</v>
      </c>
      <c r="AB32">
        <f t="shared" si="6"/>
        <v>18</v>
      </c>
      <c r="AC32">
        <f t="shared" si="7"/>
        <v>28</v>
      </c>
      <c r="AD32">
        <f t="shared" si="8"/>
        <v>18</v>
      </c>
      <c r="AF32">
        <f t="shared" si="9"/>
        <v>28</v>
      </c>
    </row>
    <row r="33" spans="1:32" x14ac:dyDescent="0.3">
      <c r="A33">
        <f>'FM-1'!A33</f>
        <v>31</v>
      </c>
      <c r="B33" t="str">
        <f>'FM-1'!B33</f>
        <v>7TH</v>
      </c>
      <c r="C33">
        <f>'FM-1'!D33</f>
        <v>1030</v>
      </c>
      <c r="D33">
        <f>'FM-1'!C33</f>
        <v>31</v>
      </c>
      <c r="E33" t="str">
        <f>'FM-1'!E33</f>
        <v>Ali31</v>
      </c>
      <c r="F33" t="str">
        <f>'FM-1'!F33</f>
        <v>Khan 31</v>
      </c>
      <c r="G33">
        <f>'FM-1'!G33</f>
        <v>3005327937</v>
      </c>
      <c r="H33">
        <f>'FM-1'!H33</f>
        <v>0</v>
      </c>
      <c r="I33" t="str">
        <f>'FM-1'!I33</f>
        <v>APS Hazro</v>
      </c>
      <c r="J33" t="str">
        <f>'Marks Input'!F34</f>
        <v>ANNUAL EXAM 2024</v>
      </c>
      <c r="K33">
        <f>'Marks Input'!G34</f>
        <v>69</v>
      </c>
      <c r="L33">
        <f>'Marks Input'!H34</f>
        <v>40</v>
      </c>
      <c r="M33">
        <f>'Marks Input'!N34</f>
        <v>44</v>
      </c>
      <c r="N33">
        <f>'Marks Input'!L34</f>
        <v>40</v>
      </c>
      <c r="O33">
        <f>'Marks Input'!I34</f>
        <v>60</v>
      </c>
      <c r="P33">
        <f>'Marks Input'!J34</f>
        <v>77</v>
      </c>
      <c r="Q33">
        <f>'Marks Input'!M34</f>
        <v>75</v>
      </c>
      <c r="R33">
        <f>'Marks Input'!K34</f>
        <v>72</v>
      </c>
      <c r="S33">
        <f>'Marks Input'!M34</f>
        <v>75</v>
      </c>
      <c r="T33">
        <v>11</v>
      </c>
      <c r="U33">
        <f>'Marks Input'!P34</f>
        <v>502</v>
      </c>
      <c r="V33">
        <f t="shared" si="0"/>
        <v>6</v>
      </c>
      <c r="W33">
        <f t="shared" si="1"/>
        <v>15</v>
      </c>
      <c r="X33">
        <f t="shared" si="2"/>
        <v>19</v>
      </c>
      <c r="Y33">
        <f t="shared" si="3"/>
        <v>31</v>
      </c>
      <c r="Z33">
        <f t="shared" si="4"/>
        <v>4</v>
      </c>
      <c r="AA33">
        <f t="shared" si="5"/>
        <v>17</v>
      </c>
      <c r="AB33">
        <f t="shared" si="6"/>
        <v>5</v>
      </c>
      <c r="AC33">
        <f t="shared" si="7"/>
        <v>27</v>
      </c>
      <c r="AD33">
        <f t="shared" si="8"/>
        <v>5</v>
      </c>
      <c r="AF33">
        <f t="shared" si="9"/>
        <v>17</v>
      </c>
    </row>
    <row r="34" spans="1:32" x14ac:dyDescent="0.3">
      <c r="A34">
        <f>'FM-1'!A34</f>
        <v>32</v>
      </c>
      <c r="B34" t="str">
        <f>'FM-1'!B34</f>
        <v>7TH</v>
      </c>
      <c r="C34">
        <f>'FM-1'!D34</f>
        <v>1031</v>
      </c>
      <c r="D34">
        <f>'FM-1'!C34</f>
        <v>32</v>
      </c>
      <c r="E34" t="str">
        <f>'FM-1'!E34</f>
        <v>Ali32</v>
      </c>
      <c r="F34" t="str">
        <f>'FM-1'!F34</f>
        <v>Khan 32</v>
      </c>
      <c r="G34">
        <f>'FM-1'!G34</f>
        <v>3005327978</v>
      </c>
      <c r="H34">
        <f>'FM-1'!H34</f>
        <v>0</v>
      </c>
      <c r="I34" t="str">
        <f>'FM-1'!I34</f>
        <v>APS Hazro</v>
      </c>
      <c r="J34" t="str">
        <f>'Marks Input'!F35</f>
        <v>ANNUAL EXAM 2024</v>
      </c>
      <c r="K34">
        <f>'Marks Input'!G35</f>
        <v>65</v>
      </c>
      <c r="L34">
        <f>'Marks Input'!H35</f>
        <v>33</v>
      </c>
      <c r="M34">
        <f>'Marks Input'!N35</f>
        <v>38</v>
      </c>
      <c r="N34">
        <f>'Marks Input'!L35</f>
        <v>58</v>
      </c>
      <c r="O34">
        <f>'Marks Input'!I35</f>
        <v>50</v>
      </c>
      <c r="P34">
        <f>'Marks Input'!J35</f>
        <v>36</v>
      </c>
      <c r="Q34">
        <f>'Marks Input'!M35</f>
        <v>44</v>
      </c>
      <c r="R34">
        <f>'Marks Input'!K35</f>
        <v>61</v>
      </c>
      <c r="S34">
        <f>'Marks Input'!M35</f>
        <v>44</v>
      </c>
      <c r="T34">
        <v>11</v>
      </c>
      <c r="U34">
        <f>'Marks Input'!P35</f>
        <v>407</v>
      </c>
      <c r="V34">
        <f t="shared" si="0"/>
        <v>15</v>
      </c>
      <c r="W34">
        <f t="shared" si="1"/>
        <v>19</v>
      </c>
      <c r="X34">
        <f t="shared" si="2"/>
        <v>23</v>
      </c>
      <c r="Y34">
        <f t="shared" si="3"/>
        <v>14</v>
      </c>
      <c r="Z34">
        <f t="shared" si="4"/>
        <v>12</v>
      </c>
      <c r="AA34">
        <f t="shared" si="5"/>
        <v>31</v>
      </c>
      <c r="AB34">
        <f t="shared" si="6"/>
        <v>27</v>
      </c>
      <c r="AC34">
        <f t="shared" si="7"/>
        <v>32</v>
      </c>
      <c r="AD34">
        <f t="shared" si="8"/>
        <v>27</v>
      </c>
      <c r="AF34">
        <f t="shared" si="9"/>
        <v>27</v>
      </c>
    </row>
    <row r="35" spans="1:32" x14ac:dyDescent="0.3">
      <c r="A35">
        <f>'FM-1'!A35</f>
        <v>33</v>
      </c>
      <c r="B35" t="str">
        <f>'FM-1'!B35</f>
        <v>7TH</v>
      </c>
      <c r="C35">
        <f>'FM-1'!D35</f>
        <v>1032</v>
      </c>
      <c r="D35">
        <f>'FM-1'!C35</f>
        <v>33</v>
      </c>
      <c r="E35" t="str">
        <f>'FM-1'!E35</f>
        <v>Ali33</v>
      </c>
      <c r="F35" t="str">
        <f>'FM-1'!F35</f>
        <v>Khan 33</v>
      </c>
      <c r="G35">
        <f>'FM-1'!G35</f>
        <v>3005328019</v>
      </c>
      <c r="H35">
        <f>'FM-1'!H35</f>
        <v>0</v>
      </c>
      <c r="I35" t="str">
        <f>'FM-1'!I35</f>
        <v>APS Hazro</v>
      </c>
      <c r="J35" t="str">
        <f>'Marks Input'!F36</f>
        <v>ANNUAL EXAM 2024</v>
      </c>
      <c r="K35">
        <f>'Marks Input'!G36</f>
        <v>62</v>
      </c>
      <c r="L35">
        <f>'Marks Input'!H36</f>
        <v>33</v>
      </c>
      <c r="M35">
        <f>'Marks Input'!N36</f>
        <v>46</v>
      </c>
      <c r="N35">
        <f>'Marks Input'!L36</f>
        <v>58</v>
      </c>
      <c r="O35">
        <f>'Marks Input'!I36</f>
        <v>50</v>
      </c>
      <c r="P35">
        <f>'Marks Input'!J36</f>
        <v>69</v>
      </c>
      <c r="Q35">
        <f>'Marks Input'!M36</f>
        <v>60</v>
      </c>
      <c r="R35">
        <f>'Marks Input'!K36</f>
        <v>78</v>
      </c>
      <c r="S35">
        <f>'Marks Input'!M36</f>
        <v>60</v>
      </c>
      <c r="T35">
        <v>11</v>
      </c>
      <c r="U35">
        <f>'Marks Input'!P36</f>
        <v>484</v>
      </c>
      <c r="V35">
        <f t="shared" si="0"/>
        <v>25</v>
      </c>
      <c r="W35">
        <f t="shared" si="1"/>
        <v>19</v>
      </c>
      <c r="X35">
        <f t="shared" si="2"/>
        <v>16</v>
      </c>
      <c r="Y35">
        <f t="shared" si="3"/>
        <v>14</v>
      </c>
      <c r="Z35">
        <f t="shared" si="4"/>
        <v>12</v>
      </c>
      <c r="AA35">
        <f t="shared" si="5"/>
        <v>22</v>
      </c>
      <c r="AB35">
        <f t="shared" si="6"/>
        <v>14</v>
      </c>
      <c r="AC35">
        <f t="shared" si="7"/>
        <v>9</v>
      </c>
      <c r="AD35">
        <f t="shared" si="8"/>
        <v>14</v>
      </c>
      <c r="AF35">
        <f t="shared" si="9"/>
        <v>21</v>
      </c>
    </row>
    <row r="36" spans="1:32" x14ac:dyDescent="0.3">
      <c r="A36">
        <f>'FM-1'!A36</f>
        <v>34</v>
      </c>
      <c r="B36" t="str">
        <f>'FM-1'!B36</f>
        <v>7TH</v>
      </c>
      <c r="C36">
        <f>'FM-1'!D36</f>
        <v>1033</v>
      </c>
      <c r="D36">
        <f>'FM-1'!C36</f>
        <v>34</v>
      </c>
      <c r="E36" t="str">
        <f>'FM-1'!E36</f>
        <v>Ali34</v>
      </c>
      <c r="F36" t="str">
        <f>'FM-1'!F36</f>
        <v>Khan 34</v>
      </c>
      <c r="G36">
        <f>'FM-1'!G36</f>
        <v>3005328060</v>
      </c>
      <c r="H36">
        <f>'FM-1'!H36</f>
        <v>0</v>
      </c>
      <c r="I36" t="str">
        <f>'FM-1'!I36</f>
        <v>APS Hazro</v>
      </c>
      <c r="J36" t="str">
        <f>'Marks Input'!F37</f>
        <v>ANNUAL EXAM 2024</v>
      </c>
      <c r="K36">
        <f>'Marks Input'!G37</f>
        <v>72</v>
      </c>
      <c r="L36">
        <f>'Marks Input'!H37</f>
        <v>58</v>
      </c>
      <c r="M36">
        <f>'Marks Input'!N37</f>
        <v>57</v>
      </c>
      <c r="N36">
        <f>'Marks Input'!L37</f>
        <v>90</v>
      </c>
      <c r="O36">
        <f>'Marks Input'!I37</f>
        <v>76</v>
      </c>
      <c r="P36">
        <f>'Marks Input'!J37</f>
        <v>95</v>
      </c>
      <c r="Q36">
        <f>'Marks Input'!M37</f>
        <v>61</v>
      </c>
      <c r="R36">
        <f>'Marks Input'!K37</f>
        <v>84</v>
      </c>
      <c r="S36">
        <f>'Marks Input'!M37</f>
        <v>61</v>
      </c>
      <c r="T36">
        <v>11</v>
      </c>
      <c r="U36">
        <f>'Marks Input'!P37</f>
        <v>633</v>
      </c>
      <c r="V36">
        <f t="shared" si="0"/>
        <v>1</v>
      </c>
      <c r="W36">
        <f t="shared" si="1"/>
        <v>8</v>
      </c>
      <c r="X36">
        <f t="shared" si="2"/>
        <v>8</v>
      </c>
      <c r="Y36">
        <f t="shared" si="3"/>
        <v>2</v>
      </c>
      <c r="Z36">
        <f t="shared" si="4"/>
        <v>2</v>
      </c>
      <c r="AA36">
        <f t="shared" si="5"/>
        <v>5</v>
      </c>
      <c r="AB36">
        <f t="shared" si="6"/>
        <v>10</v>
      </c>
      <c r="AC36">
        <f t="shared" si="7"/>
        <v>6</v>
      </c>
      <c r="AD36">
        <f t="shared" si="8"/>
        <v>10</v>
      </c>
      <c r="AF36">
        <f t="shared" si="9"/>
        <v>4</v>
      </c>
    </row>
    <row r="38" spans="1:32" ht="15" thickBot="1" x14ac:dyDescent="0.35"/>
    <row r="39" spans="1:32" x14ac:dyDescent="0.3">
      <c r="J39" s="57" t="str">
        <f>'Marks Input'!F38</f>
        <v>SUM</v>
      </c>
      <c r="K39" s="60">
        <f t="shared" ref="K39:U39" si="10">SUM(K3:K38)</f>
        <v>2128</v>
      </c>
      <c r="L39" s="60">
        <f t="shared" si="10"/>
        <v>1471</v>
      </c>
      <c r="M39" s="60">
        <f t="shared" si="10"/>
        <v>1460</v>
      </c>
      <c r="N39" s="60">
        <f t="shared" si="10"/>
        <v>2077</v>
      </c>
      <c r="O39" s="60">
        <f t="shared" si="10"/>
        <v>1642</v>
      </c>
      <c r="P39" s="60">
        <f t="shared" si="10"/>
        <v>2415</v>
      </c>
      <c r="Q39" s="60">
        <f t="shared" si="10"/>
        <v>1965</v>
      </c>
      <c r="R39" s="60">
        <f t="shared" si="10"/>
        <v>2578</v>
      </c>
      <c r="S39" s="60">
        <f t="shared" si="10"/>
        <v>1965</v>
      </c>
      <c r="T39" s="60">
        <f t="shared" si="10"/>
        <v>374</v>
      </c>
      <c r="U39" s="61">
        <f t="shared" si="10"/>
        <v>16771</v>
      </c>
    </row>
    <row r="40" spans="1:32" x14ac:dyDescent="0.3">
      <c r="J40" s="58" t="str">
        <f>'Marks Input'!F39</f>
        <v>Student Count</v>
      </c>
      <c r="K40" s="62">
        <f t="shared" ref="K40:U40" si="11">COUNT(K3:K38)</f>
        <v>34</v>
      </c>
      <c r="L40" s="62">
        <f t="shared" si="11"/>
        <v>34</v>
      </c>
      <c r="M40" s="62">
        <f t="shared" si="11"/>
        <v>34</v>
      </c>
      <c r="N40" s="62">
        <f t="shared" si="11"/>
        <v>34</v>
      </c>
      <c r="O40" s="62">
        <f t="shared" si="11"/>
        <v>34</v>
      </c>
      <c r="P40" s="62">
        <f t="shared" si="11"/>
        <v>34</v>
      </c>
      <c r="Q40" s="62">
        <f t="shared" si="11"/>
        <v>34</v>
      </c>
      <c r="R40" s="62">
        <f t="shared" si="11"/>
        <v>34</v>
      </c>
      <c r="S40" s="62">
        <f t="shared" si="11"/>
        <v>34</v>
      </c>
      <c r="T40" s="62">
        <f t="shared" si="11"/>
        <v>34</v>
      </c>
      <c r="U40" s="63">
        <f t="shared" si="11"/>
        <v>34</v>
      </c>
    </row>
    <row r="41" spans="1:32" ht="15" thickBot="1" x14ac:dyDescent="0.35">
      <c r="J41" s="59" t="str">
        <f>'Marks Input'!F40</f>
        <v>Average</v>
      </c>
      <c r="K41" s="64">
        <f>K39/K40</f>
        <v>62.588235294117645</v>
      </c>
      <c r="L41" s="64">
        <f t="shared" ref="L41:U41" si="12">L39/L40</f>
        <v>43.264705882352942</v>
      </c>
      <c r="M41" s="64">
        <f t="shared" si="12"/>
        <v>42.941176470588232</v>
      </c>
      <c r="N41" s="64">
        <f t="shared" si="12"/>
        <v>61.088235294117645</v>
      </c>
      <c r="O41" s="64">
        <f t="shared" si="12"/>
        <v>48.294117647058826</v>
      </c>
      <c r="P41" s="64">
        <f t="shared" si="12"/>
        <v>71.029411764705884</v>
      </c>
      <c r="Q41" s="64">
        <f t="shared" si="12"/>
        <v>57.794117647058826</v>
      </c>
      <c r="R41" s="64">
        <f t="shared" si="12"/>
        <v>75.82352941176471</v>
      </c>
      <c r="S41" s="64">
        <f t="shared" si="12"/>
        <v>57.794117647058826</v>
      </c>
      <c r="T41" s="64">
        <f t="shared" si="12"/>
        <v>11</v>
      </c>
      <c r="U41" s="65">
        <f t="shared" si="12"/>
        <v>493.26470588235293</v>
      </c>
    </row>
  </sheetData>
  <sheetProtection selectLockedCells="1" selectUnlockedCells="1"/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4C34-EEB7-442B-A08A-8402BFD667BD}">
  <sheetPr codeName="Sheet7"/>
  <dimension ref="A1:J46"/>
  <sheetViews>
    <sheetView workbookViewId="0">
      <selection activeCell="H2" sqref="H2"/>
    </sheetView>
  </sheetViews>
  <sheetFormatPr defaultRowHeight="15.6" x14ac:dyDescent="0.3"/>
  <cols>
    <col min="3" max="3" width="11.88671875" customWidth="1"/>
    <col min="4" max="4" width="19.33203125" style="2" customWidth="1"/>
    <col min="5" max="5" width="13.109375" customWidth="1"/>
    <col min="6" max="6" width="20.44140625" style="146" customWidth="1"/>
    <col min="7" max="7" width="18" customWidth="1"/>
    <col min="8" max="8" width="18.88671875" customWidth="1"/>
    <col min="9" max="9" width="22.109375" customWidth="1"/>
  </cols>
  <sheetData>
    <row r="1" spans="1:10" s="150" customFormat="1" ht="22.8" x14ac:dyDescent="0.45">
      <c r="A1" s="302" t="s">
        <v>137</v>
      </c>
      <c r="B1" s="302"/>
      <c r="C1" s="302"/>
      <c r="D1" s="302"/>
      <c r="E1" s="152" t="s">
        <v>42</v>
      </c>
      <c r="F1" s="151" t="s">
        <v>21</v>
      </c>
      <c r="G1" s="148"/>
      <c r="H1" s="148"/>
      <c r="I1" s="148"/>
      <c r="J1" s="149"/>
    </row>
    <row r="2" spans="1:10" ht="18" x14ac:dyDescent="0.3">
      <c r="A2" s="303" t="s">
        <v>43</v>
      </c>
      <c r="B2" s="304" t="s">
        <v>44</v>
      </c>
      <c r="C2" s="305"/>
      <c r="D2" s="18">
        <v>1</v>
      </c>
      <c r="E2" s="28" t="s">
        <v>45</v>
      </c>
      <c r="F2" s="144" t="s">
        <v>133</v>
      </c>
      <c r="G2" s="29" t="s">
        <v>3</v>
      </c>
      <c r="H2" s="153" t="s">
        <v>46</v>
      </c>
      <c r="I2" s="30"/>
      <c r="J2" s="299" t="s">
        <v>53</v>
      </c>
    </row>
    <row r="3" spans="1:10" ht="15" customHeight="1" x14ac:dyDescent="0.3">
      <c r="A3" s="303"/>
      <c r="B3" s="296" t="s">
        <v>17</v>
      </c>
      <c r="C3" s="296" t="s">
        <v>2</v>
      </c>
      <c r="D3" s="296" t="s">
        <v>48</v>
      </c>
      <c r="E3" s="296" t="s">
        <v>49</v>
      </c>
      <c r="F3" s="306" t="s">
        <v>50</v>
      </c>
      <c r="G3" s="296" t="s">
        <v>51</v>
      </c>
      <c r="H3" s="296" t="s">
        <v>52</v>
      </c>
      <c r="I3" s="296" t="s">
        <v>27</v>
      </c>
      <c r="J3" s="300"/>
    </row>
    <row r="4" spans="1:10" ht="14.4" x14ac:dyDescent="0.3">
      <c r="A4" s="303"/>
      <c r="B4" s="297"/>
      <c r="C4" s="297"/>
      <c r="D4" s="297"/>
      <c r="E4" s="297"/>
      <c r="F4" s="307"/>
      <c r="G4" s="297"/>
      <c r="H4" s="297"/>
      <c r="I4" s="297"/>
      <c r="J4" s="301"/>
    </row>
    <row r="5" spans="1:10" ht="14.4" x14ac:dyDescent="0.3">
      <c r="A5" s="303"/>
      <c r="B5" s="298"/>
      <c r="C5" s="298"/>
      <c r="D5" s="298"/>
      <c r="E5" s="298"/>
      <c r="F5" s="308"/>
      <c r="G5" s="298"/>
      <c r="H5" s="298"/>
      <c r="I5" s="298"/>
      <c r="J5" s="31" t="str">
        <f t="shared" ref="J5:J39" si="0">H$2</f>
        <v>7TH</v>
      </c>
    </row>
    <row r="6" spans="1:10" x14ac:dyDescent="0.3">
      <c r="A6" s="31" t="str">
        <f t="shared" ref="A6:A39" si="1">H$2</f>
        <v>7TH</v>
      </c>
      <c r="B6" s="19">
        <v>1</v>
      </c>
      <c r="C6" s="20">
        <v>1000</v>
      </c>
      <c r="D6" s="147" t="s">
        <v>60</v>
      </c>
      <c r="E6" s="21">
        <v>36210</v>
      </c>
      <c r="F6" s="145" t="s">
        <v>94</v>
      </c>
      <c r="G6" s="22"/>
      <c r="H6" s="22">
        <v>3005326707</v>
      </c>
      <c r="I6" s="23"/>
      <c r="J6" s="31" t="str">
        <f t="shared" si="0"/>
        <v>7TH</v>
      </c>
    </row>
    <row r="7" spans="1:10" x14ac:dyDescent="0.3">
      <c r="A7" s="31" t="str">
        <f t="shared" si="1"/>
        <v>7TH</v>
      </c>
      <c r="B7" s="19">
        <v>2</v>
      </c>
      <c r="C7" s="20">
        <v>1001</v>
      </c>
      <c r="D7" s="147" t="s">
        <v>61</v>
      </c>
      <c r="E7" s="21">
        <v>32952</v>
      </c>
      <c r="F7" s="145" t="s">
        <v>95</v>
      </c>
      <c r="G7" s="22"/>
      <c r="H7" s="22">
        <v>3005326748</v>
      </c>
      <c r="I7" s="23"/>
      <c r="J7" s="31" t="str">
        <f t="shared" si="0"/>
        <v>7TH</v>
      </c>
    </row>
    <row r="8" spans="1:10" x14ac:dyDescent="0.3">
      <c r="A8" s="31" t="str">
        <f t="shared" si="1"/>
        <v>7TH</v>
      </c>
      <c r="B8" s="19">
        <v>3</v>
      </c>
      <c r="C8" s="20">
        <v>1002</v>
      </c>
      <c r="D8" s="147" t="s">
        <v>62</v>
      </c>
      <c r="E8" s="21">
        <v>34731</v>
      </c>
      <c r="F8" s="145" t="s">
        <v>96</v>
      </c>
      <c r="G8" s="22"/>
      <c r="H8" s="22">
        <v>3005326789</v>
      </c>
      <c r="I8" s="23"/>
      <c r="J8" s="31" t="str">
        <f t="shared" si="0"/>
        <v>7TH</v>
      </c>
    </row>
    <row r="9" spans="1:10" x14ac:dyDescent="0.3">
      <c r="A9" s="31" t="str">
        <f t="shared" si="1"/>
        <v>7TH</v>
      </c>
      <c r="B9" s="19">
        <v>4</v>
      </c>
      <c r="C9" s="20">
        <v>1003</v>
      </c>
      <c r="D9" s="147" t="s">
        <v>63</v>
      </c>
      <c r="E9" s="21">
        <v>36210</v>
      </c>
      <c r="F9" s="145" t="s">
        <v>97</v>
      </c>
      <c r="G9" s="22"/>
      <c r="H9" s="22">
        <v>3005326830</v>
      </c>
      <c r="I9" s="23"/>
      <c r="J9" s="31" t="str">
        <f t="shared" si="0"/>
        <v>7TH</v>
      </c>
    </row>
    <row r="10" spans="1:10" x14ac:dyDescent="0.3">
      <c r="A10" s="31" t="str">
        <f t="shared" si="1"/>
        <v>7TH</v>
      </c>
      <c r="B10" s="19">
        <v>5</v>
      </c>
      <c r="C10" s="20">
        <v>1004</v>
      </c>
      <c r="D10" s="147" t="s">
        <v>64</v>
      </c>
      <c r="E10" s="21">
        <v>32952</v>
      </c>
      <c r="F10" s="145" t="s">
        <v>98</v>
      </c>
      <c r="G10" s="22"/>
      <c r="H10" s="22">
        <v>3005326871</v>
      </c>
      <c r="I10" s="23"/>
      <c r="J10" s="31" t="str">
        <f t="shared" si="0"/>
        <v>7TH</v>
      </c>
    </row>
    <row r="11" spans="1:10" x14ac:dyDescent="0.3">
      <c r="A11" s="31" t="str">
        <f t="shared" si="1"/>
        <v>7TH</v>
      </c>
      <c r="B11" s="19">
        <v>6</v>
      </c>
      <c r="C11" s="20">
        <v>1005</v>
      </c>
      <c r="D11" s="147" t="s">
        <v>65</v>
      </c>
      <c r="E11" s="21">
        <v>34731</v>
      </c>
      <c r="F11" s="145" t="s">
        <v>99</v>
      </c>
      <c r="G11" s="22"/>
      <c r="H11" s="22">
        <v>3005326912</v>
      </c>
      <c r="I11" s="23"/>
      <c r="J11" s="31" t="str">
        <f t="shared" si="0"/>
        <v>7TH</v>
      </c>
    </row>
    <row r="12" spans="1:10" x14ac:dyDescent="0.3">
      <c r="A12" s="31" t="str">
        <f t="shared" si="1"/>
        <v>7TH</v>
      </c>
      <c r="B12" s="19">
        <v>7</v>
      </c>
      <c r="C12" s="20">
        <v>1006</v>
      </c>
      <c r="D12" s="147" t="s">
        <v>66</v>
      </c>
      <c r="E12" s="21">
        <v>35783</v>
      </c>
      <c r="F12" s="145" t="s">
        <v>100</v>
      </c>
      <c r="G12" s="22"/>
      <c r="H12" s="22">
        <v>3005326953</v>
      </c>
      <c r="I12" s="23"/>
      <c r="J12" s="31" t="str">
        <f t="shared" si="0"/>
        <v>7TH</v>
      </c>
    </row>
    <row r="13" spans="1:10" x14ac:dyDescent="0.3">
      <c r="A13" s="31" t="str">
        <f t="shared" si="1"/>
        <v>7TH</v>
      </c>
      <c r="B13" s="19">
        <v>8</v>
      </c>
      <c r="C13" s="20">
        <v>1007</v>
      </c>
      <c r="D13" s="147" t="s">
        <v>67</v>
      </c>
      <c r="E13" s="21">
        <v>36210</v>
      </c>
      <c r="F13" s="145" t="s">
        <v>101</v>
      </c>
      <c r="G13" s="22"/>
      <c r="H13" s="22">
        <v>3005326994</v>
      </c>
      <c r="I13" s="23"/>
      <c r="J13" s="31" t="str">
        <f t="shared" si="0"/>
        <v>7TH</v>
      </c>
    </row>
    <row r="14" spans="1:10" x14ac:dyDescent="0.3">
      <c r="A14" s="31" t="str">
        <f t="shared" si="1"/>
        <v>7TH</v>
      </c>
      <c r="B14" s="19">
        <v>9</v>
      </c>
      <c r="C14" s="20">
        <v>1008</v>
      </c>
      <c r="D14" s="147" t="s">
        <v>68</v>
      </c>
      <c r="E14" s="21">
        <v>32952</v>
      </c>
      <c r="F14" s="145" t="s">
        <v>102</v>
      </c>
      <c r="G14" s="22"/>
      <c r="H14" s="22">
        <v>3005327035</v>
      </c>
      <c r="I14" s="23"/>
      <c r="J14" s="31" t="str">
        <f t="shared" si="0"/>
        <v>7TH</v>
      </c>
    </row>
    <row r="15" spans="1:10" x14ac:dyDescent="0.3">
      <c r="A15" s="31" t="str">
        <f t="shared" si="1"/>
        <v>7TH</v>
      </c>
      <c r="B15" s="19">
        <v>10</v>
      </c>
      <c r="C15" s="20">
        <v>1009</v>
      </c>
      <c r="D15" s="147" t="s">
        <v>69</v>
      </c>
      <c r="E15" s="21">
        <v>34731</v>
      </c>
      <c r="F15" s="145" t="s">
        <v>103</v>
      </c>
      <c r="G15" s="22"/>
      <c r="H15" s="22">
        <v>3005327076</v>
      </c>
      <c r="I15" s="23"/>
      <c r="J15" s="31" t="str">
        <f t="shared" si="0"/>
        <v>7TH</v>
      </c>
    </row>
    <row r="16" spans="1:10" x14ac:dyDescent="0.3">
      <c r="A16" s="31" t="str">
        <f t="shared" si="1"/>
        <v>7TH</v>
      </c>
      <c r="B16" s="19">
        <v>11</v>
      </c>
      <c r="C16" s="20">
        <v>1010</v>
      </c>
      <c r="D16" s="147" t="s">
        <v>70</v>
      </c>
      <c r="E16" s="21">
        <v>36210</v>
      </c>
      <c r="F16" s="145" t="s">
        <v>104</v>
      </c>
      <c r="G16" s="22"/>
      <c r="H16" s="22">
        <v>3005327117</v>
      </c>
      <c r="I16" s="23"/>
      <c r="J16" s="31" t="str">
        <f t="shared" si="0"/>
        <v>7TH</v>
      </c>
    </row>
    <row r="17" spans="1:10" x14ac:dyDescent="0.3">
      <c r="A17" s="31" t="str">
        <f t="shared" si="1"/>
        <v>7TH</v>
      </c>
      <c r="B17" s="19">
        <v>12</v>
      </c>
      <c r="C17" s="20">
        <v>1011</v>
      </c>
      <c r="D17" s="147" t="s">
        <v>71</v>
      </c>
      <c r="E17" s="21">
        <v>32952</v>
      </c>
      <c r="F17" s="145" t="s">
        <v>105</v>
      </c>
      <c r="G17" s="22"/>
      <c r="H17" s="22">
        <v>3005327158</v>
      </c>
      <c r="I17" s="23"/>
      <c r="J17" s="31" t="str">
        <f t="shared" si="0"/>
        <v>7TH</v>
      </c>
    </row>
    <row r="18" spans="1:10" x14ac:dyDescent="0.3">
      <c r="A18" s="31" t="str">
        <f t="shared" si="1"/>
        <v>7TH</v>
      </c>
      <c r="B18" s="19">
        <v>13</v>
      </c>
      <c r="C18" s="20">
        <v>1012</v>
      </c>
      <c r="D18" s="147" t="s">
        <v>72</v>
      </c>
      <c r="E18" s="21">
        <v>34731</v>
      </c>
      <c r="F18" s="145" t="s">
        <v>106</v>
      </c>
      <c r="G18" s="22"/>
      <c r="H18" s="22">
        <v>3005327199</v>
      </c>
      <c r="I18" s="23"/>
      <c r="J18" s="31" t="str">
        <f t="shared" si="0"/>
        <v>7TH</v>
      </c>
    </row>
    <row r="19" spans="1:10" x14ac:dyDescent="0.3">
      <c r="A19" s="31" t="str">
        <f t="shared" si="1"/>
        <v>7TH</v>
      </c>
      <c r="B19" s="19">
        <v>14</v>
      </c>
      <c r="C19" s="20">
        <v>1013</v>
      </c>
      <c r="D19" s="147" t="s">
        <v>73</v>
      </c>
      <c r="E19" s="21">
        <v>35783</v>
      </c>
      <c r="F19" s="145" t="s">
        <v>107</v>
      </c>
      <c r="G19" s="22"/>
      <c r="H19" s="22">
        <v>3005327240</v>
      </c>
      <c r="I19" s="23"/>
      <c r="J19" s="31" t="str">
        <f t="shared" si="0"/>
        <v>7TH</v>
      </c>
    </row>
    <row r="20" spans="1:10" x14ac:dyDescent="0.3">
      <c r="A20" s="31" t="str">
        <f t="shared" si="1"/>
        <v>7TH</v>
      </c>
      <c r="B20" s="19">
        <v>15</v>
      </c>
      <c r="C20" s="20">
        <v>1014</v>
      </c>
      <c r="D20" s="147" t="s">
        <v>74</v>
      </c>
      <c r="E20" s="21">
        <v>36210</v>
      </c>
      <c r="F20" s="145" t="s">
        <v>108</v>
      </c>
      <c r="G20" s="22"/>
      <c r="H20" s="22">
        <v>3005327281</v>
      </c>
      <c r="I20" s="23"/>
      <c r="J20" s="31" t="str">
        <f t="shared" si="0"/>
        <v>7TH</v>
      </c>
    </row>
    <row r="21" spans="1:10" x14ac:dyDescent="0.3">
      <c r="A21" s="31" t="str">
        <f t="shared" si="1"/>
        <v>7TH</v>
      </c>
      <c r="B21" s="19">
        <v>16</v>
      </c>
      <c r="C21" s="20">
        <v>1015</v>
      </c>
      <c r="D21" s="147" t="s">
        <v>75</v>
      </c>
      <c r="E21" s="21">
        <v>32952</v>
      </c>
      <c r="F21" s="145" t="s">
        <v>109</v>
      </c>
      <c r="G21" s="22"/>
      <c r="H21" s="22">
        <v>3005327322</v>
      </c>
      <c r="I21" s="23"/>
      <c r="J21" s="31" t="str">
        <f t="shared" si="0"/>
        <v>7TH</v>
      </c>
    </row>
    <row r="22" spans="1:10" x14ac:dyDescent="0.3">
      <c r="A22" s="31" t="str">
        <f t="shared" si="1"/>
        <v>7TH</v>
      </c>
      <c r="B22" s="19">
        <v>17</v>
      </c>
      <c r="C22" s="20">
        <v>1016</v>
      </c>
      <c r="D22" s="147" t="s">
        <v>76</v>
      </c>
      <c r="E22" s="21">
        <v>34731</v>
      </c>
      <c r="F22" s="145" t="s">
        <v>110</v>
      </c>
      <c r="G22" s="22"/>
      <c r="H22" s="22">
        <v>3005327363</v>
      </c>
      <c r="I22" s="23"/>
      <c r="J22" s="31" t="str">
        <f t="shared" si="0"/>
        <v>7TH</v>
      </c>
    </row>
    <row r="23" spans="1:10" x14ac:dyDescent="0.3">
      <c r="A23" s="31" t="str">
        <f t="shared" si="1"/>
        <v>7TH</v>
      </c>
      <c r="B23" s="19">
        <v>18</v>
      </c>
      <c r="C23" s="20">
        <v>1017</v>
      </c>
      <c r="D23" s="147" t="s">
        <v>77</v>
      </c>
      <c r="E23" s="21">
        <v>36210</v>
      </c>
      <c r="F23" s="145" t="s">
        <v>111</v>
      </c>
      <c r="G23" s="22"/>
      <c r="H23" s="22">
        <v>3005327404</v>
      </c>
      <c r="I23" s="23"/>
      <c r="J23" s="31" t="str">
        <f t="shared" si="0"/>
        <v>7TH</v>
      </c>
    </row>
    <row r="24" spans="1:10" x14ac:dyDescent="0.3">
      <c r="A24" s="31" t="str">
        <f t="shared" si="1"/>
        <v>7TH</v>
      </c>
      <c r="B24" s="19">
        <v>19</v>
      </c>
      <c r="C24" s="20">
        <v>1018</v>
      </c>
      <c r="D24" s="147" t="s">
        <v>78</v>
      </c>
      <c r="E24" s="21">
        <v>32952</v>
      </c>
      <c r="F24" s="145" t="s">
        <v>112</v>
      </c>
      <c r="G24" s="22"/>
      <c r="H24" s="22">
        <v>3005327445</v>
      </c>
      <c r="I24" s="23"/>
      <c r="J24" s="31" t="str">
        <f t="shared" si="0"/>
        <v>7TH</v>
      </c>
    </row>
    <row r="25" spans="1:10" x14ac:dyDescent="0.3">
      <c r="A25" s="31" t="str">
        <f t="shared" si="1"/>
        <v>7TH</v>
      </c>
      <c r="B25" s="19">
        <v>20</v>
      </c>
      <c r="C25" s="20">
        <v>1019</v>
      </c>
      <c r="D25" s="147" t="s">
        <v>79</v>
      </c>
      <c r="E25" s="21">
        <v>34731</v>
      </c>
      <c r="F25" s="145" t="s">
        <v>113</v>
      </c>
      <c r="G25" s="22"/>
      <c r="H25" s="22">
        <v>3005327486</v>
      </c>
      <c r="I25" s="23"/>
      <c r="J25" s="31" t="str">
        <f t="shared" si="0"/>
        <v>7TH</v>
      </c>
    </row>
    <row r="26" spans="1:10" x14ac:dyDescent="0.3">
      <c r="A26" s="31" t="str">
        <f t="shared" si="1"/>
        <v>7TH</v>
      </c>
      <c r="B26" s="19">
        <v>21</v>
      </c>
      <c r="C26" s="20">
        <v>1020</v>
      </c>
      <c r="D26" s="147" t="s">
        <v>80</v>
      </c>
      <c r="E26" s="21">
        <v>35783</v>
      </c>
      <c r="F26" s="145" t="s">
        <v>114</v>
      </c>
      <c r="G26" s="22"/>
      <c r="H26" s="22">
        <v>3005327527</v>
      </c>
      <c r="I26" s="23"/>
      <c r="J26" s="31" t="str">
        <f t="shared" si="0"/>
        <v>7TH</v>
      </c>
    </row>
    <row r="27" spans="1:10" x14ac:dyDescent="0.3">
      <c r="A27" s="31" t="str">
        <f t="shared" si="1"/>
        <v>7TH</v>
      </c>
      <c r="B27" s="19">
        <v>22</v>
      </c>
      <c r="C27" s="20">
        <v>1021</v>
      </c>
      <c r="D27" s="147" t="s">
        <v>81</v>
      </c>
      <c r="E27" s="21">
        <v>36210</v>
      </c>
      <c r="F27" s="145" t="s">
        <v>115</v>
      </c>
      <c r="G27" s="22"/>
      <c r="H27" s="22">
        <v>3005327568</v>
      </c>
      <c r="I27" s="23"/>
      <c r="J27" s="31" t="str">
        <f t="shared" si="0"/>
        <v>7TH</v>
      </c>
    </row>
    <row r="28" spans="1:10" x14ac:dyDescent="0.3">
      <c r="A28" s="31" t="str">
        <f t="shared" si="1"/>
        <v>7TH</v>
      </c>
      <c r="B28" s="19">
        <v>23</v>
      </c>
      <c r="C28" s="20">
        <v>1022</v>
      </c>
      <c r="D28" s="147" t="s">
        <v>82</v>
      </c>
      <c r="E28" s="21">
        <v>32952</v>
      </c>
      <c r="F28" s="145" t="s">
        <v>116</v>
      </c>
      <c r="G28" s="22"/>
      <c r="H28" s="22">
        <v>3005327609</v>
      </c>
      <c r="I28" s="23"/>
      <c r="J28" s="31" t="str">
        <f t="shared" si="0"/>
        <v>7TH</v>
      </c>
    </row>
    <row r="29" spans="1:10" x14ac:dyDescent="0.3">
      <c r="A29" s="31" t="str">
        <f t="shared" si="1"/>
        <v>7TH</v>
      </c>
      <c r="B29" s="19">
        <v>24</v>
      </c>
      <c r="C29" s="20">
        <v>1023</v>
      </c>
      <c r="D29" s="147" t="s">
        <v>83</v>
      </c>
      <c r="E29" s="21">
        <v>34731</v>
      </c>
      <c r="F29" s="145" t="s">
        <v>117</v>
      </c>
      <c r="G29" s="22"/>
      <c r="H29" s="22">
        <v>3005327650</v>
      </c>
      <c r="I29" s="23"/>
      <c r="J29" s="31" t="str">
        <f t="shared" si="0"/>
        <v>7TH</v>
      </c>
    </row>
    <row r="30" spans="1:10" x14ac:dyDescent="0.3">
      <c r="A30" s="31" t="str">
        <f t="shared" si="1"/>
        <v>7TH</v>
      </c>
      <c r="B30" s="19">
        <v>25</v>
      </c>
      <c r="C30" s="20">
        <v>1024</v>
      </c>
      <c r="D30" s="147" t="s">
        <v>84</v>
      </c>
      <c r="E30" s="21">
        <v>36210</v>
      </c>
      <c r="F30" s="145" t="s">
        <v>118</v>
      </c>
      <c r="G30" s="22"/>
      <c r="H30" s="22">
        <v>3005327691</v>
      </c>
      <c r="I30" s="23"/>
      <c r="J30" s="31" t="str">
        <f t="shared" si="0"/>
        <v>7TH</v>
      </c>
    </row>
    <row r="31" spans="1:10" x14ac:dyDescent="0.3">
      <c r="A31" s="31" t="str">
        <f t="shared" si="1"/>
        <v>7TH</v>
      </c>
      <c r="B31" s="19">
        <v>26</v>
      </c>
      <c r="C31" s="20">
        <v>1025</v>
      </c>
      <c r="D31" s="147" t="s">
        <v>85</v>
      </c>
      <c r="E31" s="21">
        <v>32952</v>
      </c>
      <c r="F31" s="145" t="s">
        <v>119</v>
      </c>
      <c r="G31" s="22"/>
      <c r="H31" s="22">
        <v>3005327732</v>
      </c>
      <c r="I31" s="23"/>
      <c r="J31" s="31" t="str">
        <f t="shared" si="0"/>
        <v>7TH</v>
      </c>
    </row>
    <row r="32" spans="1:10" x14ac:dyDescent="0.3">
      <c r="A32" s="31" t="str">
        <f t="shared" si="1"/>
        <v>7TH</v>
      </c>
      <c r="B32" s="19">
        <v>27</v>
      </c>
      <c r="C32" s="20">
        <v>1026</v>
      </c>
      <c r="D32" s="147" t="s">
        <v>86</v>
      </c>
      <c r="E32" s="21">
        <v>34731</v>
      </c>
      <c r="F32" s="145" t="s">
        <v>120</v>
      </c>
      <c r="G32" s="22"/>
      <c r="H32" s="22">
        <v>3005327773</v>
      </c>
      <c r="I32" s="23"/>
      <c r="J32" s="31" t="str">
        <f t="shared" si="0"/>
        <v>7TH</v>
      </c>
    </row>
    <row r="33" spans="1:10" x14ac:dyDescent="0.3">
      <c r="A33" s="31" t="str">
        <f t="shared" si="1"/>
        <v>7TH</v>
      </c>
      <c r="B33" s="19">
        <v>28</v>
      </c>
      <c r="C33" s="20">
        <v>1027</v>
      </c>
      <c r="D33" s="147" t="s">
        <v>87</v>
      </c>
      <c r="E33" s="21">
        <v>35783</v>
      </c>
      <c r="F33" s="145" t="s">
        <v>121</v>
      </c>
      <c r="G33" s="22"/>
      <c r="H33" s="22">
        <v>3005327814</v>
      </c>
      <c r="I33" s="23"/>
      <c r="J33" s="31" t="str">
        <f t="shared" si="0"/>
        <v>7TH</v>
      </c>
    </row>
    <row r="34" spans="1:10" x14ac:dyDescent="0.3">
      <c r="A34" s="31" t="str">
        <f t="shared" si="1"/>
        <v>7TH</v>
      </c>
      <c r="B34" s="19">
        <v>29</v>
      </c>
      <c r="C34" s="20">
        <v>1028</v>
      </c>
      <c r="D34" s="147" t="s">
        <v>88</v>
      </c>
      <c r="E34" s="21">
        <v>36210</v>
      </c>
      <c r="F34" s="145" t="s">
        <v>122</v>
      </c>
      <c r="G34" s="22"/>
      <c r="H34" s="22">
        <v>3005327855</v>
      </c>
      <c r="I34" s="23"/>
      <c r="J34" s="31" t="str">
        <f t="shared" si="0"/>
        <v>7TH</v>
      </c>
    </row>
    <row r="35" spans="1:10" x14ac:dyDescent="0.3">
      <c r="A35" s="31" t="str">
        <f t="shared" si="1"/>
        <v>7TH</v>
      </c>
      <c r="B35" s="19">
        <v>30</v>
      </c>
      <c r="C35" s="20">
        <v>1029</v>
      </c>
      <c r="D35" s="147" t="s">
        <v>89</v>
      </c>
      <c r="E35" s="21">
        <v>32952</v>
      </c>
      <c r="F35" s="145" t="s">
        <v>123</v>
      </c>
      <c r="G35" s="22"/>
      <c r="H35" s="22">
        <v>3005327896</v>
      </c>
      <c r="I35" s="23"/>
      <c r="J35" s="31" t="str">
        <f t="shared" si="0"/>
        <v>7TH</v>
      </c>
    </row>
    <row r="36" spans="1:10" x14ac:dyDescent="0.3">
      <c r="A36" s="31" t="str">
        <f t="shared" si="1"/>
        <v>7TH</v>
      </c>
      <c r="B36" s="19">
        <v>31</v>
      </c>
      <c r="C36" s="20">
        <v>1030</v>
      </c>
      <c r="D36" s="147" t="s">
        <v>90</v>
      </c>
      <c r="E36" s="21">
        <v>34731</v>
      </c>
      <c r="F36" s="145" t="s">
        <v>124</v>
      </c>
      <c r="G36" s="22"/>
      <c r="H36" s="22">
        <v>3005327937</v>
      </c>
      <c r="I36" s="23"/>
      <c r="J36" s="31" t="str">
        <f t="shared" si="0"/>
        <v>7TH</v>
      </c>
    </row>
    <row r="37" spans="1:10" x14ac:dyDescent="0.3">
      <c r="A37" s="31" t="str">
        <f t="shared" si="1"/>
        <v>7TH</v>
      </c>
      <c r="B37" s="19">
        <v>32</v>
      </c>
      <c r="C37" s="20">
        <v>1031</v>
      </c>
      <c r="D37" s="147" t="s">
        <v>91</v>
      </c>
      <c r="E37" s="21">
        <v>36210</v>
      </c>
      <c r="F37" s="145" t="s">
        <v>134</v>
      </c>
      <c r="G37" s="22"/>
      <c r="H37" s="22">
        <v>3005327978</v>
      </c>
      <c r="I37" s="23"/>
      <c r="J37" s="31" t="str">
        <f t="shared" si="0"/>
        <v>7TH</v>
      </c>
    </row>
    <row r="38" spans="1:10" x14ac:dyDescent="0.3">
      <c r="A38" s="31" t="str">
        <f t="shared" si="1"/>
        <v>7TH</v>
      </c>
      <c r="B38" s="19">
        <v>33</v>
      </c>
      <c r="C38" s="20">
        <v>1032</v>
      </c>
      <c r="D38" s="147" t="s">
        <v>92</v>
      </c>
      <c r="E38" s="21">
        <v>32952</v>
      </c>
      <c r="F38" s="145" t="s">
        <v>135</v>
      </c>
      <c r="G38" s="22"/>
      <c r="H38" s="22">
        <v>3005328019</v>
      </c>
      <c r="I38" s="23"/>
      <c r="J38" s="31" t="str">
        <f t="shared" si="0"/>
        <v>7TH</v>
      </c>
    </row>
    <row r="39" spans="1:10" x14ac:dyDescent="0.3">
      <c r="A39" s="31" t="str">
        <f t="shared" si="1"/>
        <v>7TH</v>
      </c>
      <c r="B39" s="19">
        <v>34</v>
      </c>
      <c r="C39" s="20">
        <v>1033</v>
      </c>
      <c r="D39" s="147" t="s">
        <v>93</v>
      </c>
      <c r="E39" s="21">
        <v>34731</v>
      </c>
      <c r="F39" s="145" t="s">
        <v>136</v>
      </c>
      <c r="G39" s="22"/>
      <c r="H39" s="22">
        <v>3005328060</v>
      </c>
      <c r="I39" s="23"/>
      <c r="J39" s="31" t="str">
        <f t="shared" si="0"/>
        <v>7TH</v>
      </c>
    </row>
    <row r="40" spans="1:10" x14ac:dyDescent="0.3">
      <c r="J40" s="24" t="s">
        <v>59</v>
      </c>
    </row>
    <row r="41" spans="1:10" x14ac:dyDescent="0.3">
      <c r="J41" s="25" t="s">
        <v>47</v>
      </c>
    </row>
    <row r="42" spans="1:10" x14ac:dyDescent="0.3">
      <c r="J42" s="25" t="s">
        <v>54</v>
      </c>
    </row>
    <row r="43" spans="1:10" x14ac:dyDescent="0.3">
      <c r="J43" s="25" t="s">
        <v>55</v>
      </c>
    </row>
    <row r="44" spans="1:10" x14ac:dyDescent="0.3">
      <c r="J44" s="25" t="s">
        <v>56</v>
      </c>
    </row>
    <row r="45" spans="1:10" x14ac:dyDescent="0.3">
      <c r="J45" s="25" t="s">
        <v>57</v>
      </c>
    </row>
    <row r="46" spans="1:10" x14ac:dyDescent="0.3">
      <c r="J46" s="25" t="s">
        <v>58</v>
      </c>
    </row>
  </sheetData>
  <mergeCells count="12">
    <mergeCell ref="H3:H5"/>
    <mergeCell ref="I3:I5"/>
    <mergeCell ref="J2:J4"/>
    <mergeCell ref="A1:D1"/>
    <mergeCell ref="A2:A5"/>
    <mergeCell ref="B2:C2"/>
    <mergeCell ref="B3:B5"/>
    <mergeCell ref="C3:C5"/>
    <mergeCell ref="D3:D5"/>
    <mergeCell ref="E3:E5"/>
    <mergeCell ref="F3:F5"/>
    <mergeCell ref="G3:G5"/>
  </mergeCells>
  <phoneticPr fontId="7" type="noConversion"/>
  <dataValidations count="1">
    <dataValidation type="list" allowBlank="1" showInputMessage="1" showErrorMessage="1" sqref="H2" xr:uid="{73943130-1876-4F29-84E2-C170FD95FF80}">
      <formula1>#REF!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7B9F-9290-4F25-8F09-9C4F73AF9DE7}">
  <sheetPr codeName="Sheet8"/>
  <dimension ref="A1:O31"/>
  <sheetViews>
    <sheetView tabSelected="1" topLeftCell="A16" workbookViewId="0">
      <selection activeCell="C4" sqref="C4"/>
    </sheetView>
  </sheetViews>
  <sheetFormatPr defaultRowHeight="14.4" x14ac:dyDescent="0.3"/>
  <cols>
    <col min="1" max="15" width="10.6640625" customWidth="1"/>
  </cols>
  <sheetData>
    <row r="1" spans="1:15" x14ac:dyDescent="0.3">
      <c r="A1" s="136"/>
      <c r="O1" s="143"/>
    </row>
    <row r="2" spans="1:15" x14ac:dyDescent="0.3">
      <c r="A2" s="137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39"/>
    </row>
    <row r="3" spans="1:15" x14ac:dyDescent="0.3">
      <c r="A3" s="135"/>
      <c r="B3" s="135">
        <v>1</v>
      </c>
      <c r="C3" s="135">
        <v>2</v>
      </c>
      <c r="D3" s="135">
        <v>3</v>
      </c>
      <c r="E3" s="135">
        <v>4</v>
      </c>
      <c r="F3" s="135">
        <v>5</v>
      </c>
      <c r="G3" s="135">
        <v>6</v>
      </c>
      <c r="H3" s="135">
        <v>7</v>
      </c>
      <c r="I3" s="135">
        <v>8</v>
      </c>
      <c r="J3" s="135">
        <v>9</v>
      </c>
      <c r="K3" s="135">
        <v>10</v>
      </c>
      <c r="L3" s="135">
        <v>11</v>
      </c>
      <c r="M3" s="135">
        <v>12</v>
      </c>
      <c r="N3" s="142"/>
      <c r="O3" s="139">
        <v>1</v>
      </c>
    </row>
    <row r="4" spans="1:15" x14ac:dyDescent="0.3">
      <c r="A4" s="138">
        <v>1</v>
      </c>
      <c r="B4" s="140">
        <v>45352</v>
      </c>
      <c r="C4" s="141">
        <v>45384</v>
      </c>
      <c r="D4" s="141">
        <v>45413</v>
      </c>
      <c r="E4" s="141">
        <v>45444</v>
      </c>
      <c r="F4" s="141">
        <v>45475</v>
      </c>
      <c r="G4" s="141">
        <v>45505</v>
      </c>
      <c r="H4" s="141">
        <v>45536</v>
      </c>
      <c r="I4" s="141">
        <v>45566</v>
      </c>
      <c r="J4" s="141">
        <v>45597</v>
      </c>
      <c r="K4" s="141">
        <v>45627</v>
      </c>
      <c r="L4" s="141">
        <v>45658</v>
      </c>
      <c r="M4" s="141">
        <v>45689</v>
      </c>
      <c r="O4" s="143" t="s">
        <v>125</v>
      </c>
    </row>
    <row r="5" spans="1:15" x14ac:dyDescent="0.3">
      <c r="A5" s="135">
        <v>2</v>
      </c>
      <c r="B5" s="140">
        <v>45353</v>
      </c>
      <c r="C5" s="141">
        <v>45385</v>
      </c>
      <c r="D5" s="141">
        <v>45414</v>
      </c>
      <c r="E5" s="141">
        <v>45445</v>
      </c>
      <c r="F5" s="141">
        <v>45476</v>
      </c>
      <c r="G5" s="141">
        <v>45506</v>
      </c>
      <c r="H5" s="141">
        <v>45538</v>
      </c>
      <c r="I5" s="141">
        <v>45567</v>
      </c>
      <c r="J5" s="141">
        <v>45598</v>
      </c>
      <c r="K5" s="141">
        <v>45629</v>
      </c>
      <c r="L5" s="141">
        <v>45659</v>
      </c>
      <c r="M5" s="141">
        <v>45690</v>
      </c>
      <c r="O5" s="143" t="s">
        <v>126</v>
      </c>
    </row>
    <row r="6" spans="1:15" x14ac:dyDescent="0.3">
      <c r="A6" s="135">
        <v>3</v>
      </c>
      <c r="B6" s="140">
        <v>45354</v>
      </c>
      <c r="C6" s="141">
        <v>45386</v>
      </c>
      <c r="D6" s="141">
        <v>45415</v>
      </c>
      <c r="E6" s="141">
        <v>45447</v>
      </c>
      <c r="F6" s="141">
        <v>45477</v>
      </c>
      <c r="G6" s="141">
        <v>45507</v>
      </c>
      <c r="H6" s="141">
        <v>45539</v>
      </c>
      <c r="I6" s="141">
        <v>45568</v>
      </c>
      <c r="J6" s="141">
        <v>45599</v>
      </c>
      <c r="K6" s="141">
        <v>45630</v>
      </c>
      <c r="L6" s="141">
        <v>45660</v>
      </c>
      <c r="M6" s="141">
        <v>45692</v>
      </c>
      <c r="O6" s="143" t="s">
        <v>127</v>
      </c>
    </row>
    <row r="7" spans="1:15" x14ac:dyDescent="0.3">
      <c r="A7" s="135">
        <v>4</v>
      </c>
      <c r="B7" s="140">
        <v>45356</v>
      </c>
      <c r="C7" s="141">
        <v>45387</v>
      </c>
      <c r="D7" s="141">
        <v>45416</v>
      </c>
      <c r="E7" s="141">
        <v>45448</v>
      </c>
      <c r="F7" s="141">
        <v>45478</v>
      </c>
      <c r="G7" s="141">
        <v>45508</v>
      </c>
      <c r="H7" s="141">
        <v>45540</v>
      </c>
      <c r="I7" s="141">
        <v>45569</v>
      </c>
      <c r="J7" s="141">
        <v>45601</v>
      </c>
      <c r="K7" s="141">
        <v>45631</v>
      </c>
      <c r="L7" s="141">
        <v>45661</v>
      </c>
      <c r="M7" s="141">
        <v>45693</v>
      </c>
      <c r="O7" s="143" t="s">
        <v>128</v>
      </c>
    </row>
    <row r="8" spans="1:15" x14ac:dyDescent="0.3">
      <c r="A8" s="135">
        <v>5</v>
      </c>
      <c r="B8" s="140">
        <v>45357</v>
      </c>
      <c r="C8" s="141">
        <v>45388</v>
      </c>
      <c r="D8" s="141">
        <v>45417</v>
      </c>
      <c r="E8" s="141">
        <v>45449</v>
      </c>
      <c r="F8" s="141">
        <v>45479</v>
      </c>
      <c r="G8" s="141">
        <v>45510</v>
      </c>
      <c r="H8" s="141">
        <v>45541</v>
      </c>
      <c r="I8" s="141">
        <v>45570</v>
      </c>
      <c r="J8" s="141">
        <v>45602</v>
      </c>
      <c r="K8" s="141">
        <v>45632</v>
      </c>
      <c r="L8" s="141">
        <v>45662</v>
      </c>
      <c r="M8" s="141">
        <v>45694</v>
      </c>
      <c r="O8" s="143" t="s">
        <v>129</v>
      </c>
    </row>
    <row r="9" spans="1:15" x14ac:dyDescent="0.3">
      <c r="A9" s="135">
        <v>6</v>
      </c>
      <c r="B9" s="140">
        <v>45358</v>
      </c>
      <c r="C9" s="141">
        <v>45389</v>
      </c>
      <c r="D9" s="141">
        <v>45419</v>
      </c>
      <c r="E9" s="141">
        <v>45450</v>
      </c>
      <c r="F9" s="141">
        <v>45480</v>
      </c>
      <c r="G9" s="141">
        <v>45511</v>
      </c>
      <c r="H9" s="141">
        <v>45542</v>
      </c>
      <c r="I9" s="141">
        <v>45571</v>
      </c>
      <c r="J9" s="141">
        <v>45603</v>
      </c>
      <c r="K9" s="141">
        <v>45633</v>
      </c>
      <c r="L9" s="141">
        <v>45664</v>
      </c>
      <c r="M9" s="141">
        <v>45695</v>
      </c>
      <c r="O9" s="143" t="s">
        <v>130</v>
      </c>
    </row>
    <row r="10" spans="1:15" x14ac:dyDescent="0.3">
      <c r="A10" s="135">
        <v>7</v>
      </c>
      <c r="B10" s="140">
        <v>45359</v>
      </c>
      <c r="C10" s="141">
        <v>45391</v>
      </c>
      <c r="D10" s="141">
        <v>45420</v>
      </c>
      <c r="E10" s="141">
        <v>45451</v>
      </c>
      <c r="F10" s="141">
        <v>45482</v>
      </c>
      <c r="G10" s="141">
        <v>45512</v>
      </c>
      <c r="H10" s="141">
        <v>45543</v>
      </c>
      <c r="I10" s="141">
        <v>45573</v>
      </c>
      <c r="J10" s="141">
        <v>45604</v>
      </c>
      <c r="K10" s="141">
        <v>45634</v>
      </c>
      <c r="L10" s="141">
        <v>45665</v>
      </c>
      <c r="M10" s="141">
        <v>45696</v>
      </c>
      <c r="O10" s="143" t="s">
        <v>131</v>
      </c>
    </row>
    <row r="11" spans="1:15" x14ac:dyDescent="0.3">
      <c r="A11" s="135">
        <v>8</v>
      </c>
      <c r="B11" s="140">
        <v>45360</v>
      </c>
      <c r="C11" s="141">
        <v>45392</v>
      </c>
      <c r="D11" s="141">
        <v>45421</v>
      </c>
      <c r="E11" s="141">
        <v>45452</v>
      </c>
      <c r="F11" s="141">
        <v>45483</v>
      </c>
      <c r="G11" s="141">
        <v>45513</v>
      </c>
      <c r="H11" s="141">
        <v>45545</v>
      </c>
      <c r="I11" s="141">
        <v>45574</v>
      </c>
      <c r="J11" s="141">
        <v>45605</v>
      </c>
      <c r="K11" s="141">
        <v>45636</v>
      </c>
      <c r="L11" s="141">
        <v>45666</v>
      </c>
      <c r="M11" s="141">
        <v>45697</v>
      </c>
      <c r="O11" s="143" t="s">
        <v>125</v>
      </c>
    </row>
    <row r="12" spans="1:15" x14ac:dyDescent="0.3">
      <c r="A12" s="135">
        <v>9</v>
      </c>
      <c r="B12" s="140">
        <v>45361</v>
      </c>
      <c r="C12" s="141">
        <v>45393</v>
      </c>
      <c r="D12" s="141">
        <v>45422</v>
      </c>
      <c r="E12" s="141">
        <v>45454</v>
      </c>
      <c r="F12" s="141">
        <v>45484</v>
      </c>
      <c r="G12" s="141">
        <v>45514</v>
      </c>
      <c r="H12" s="141">
        <v>45546</v>
      </c>
      <c r="I12" s="141">
        <v>45575</v>
      </c>
      <c r="J12" s="141">
        <v>45606</v>
      </c>
      <c r="K12" s="141">
        <v>45637</v>
      </c>
      <c r="L12" s="141">
        <v>45667</v>
      </c>
      <c r="M12" s="141">
        <v>45699</v>
      </c>
      <c r="O12" s="143" t="s">
        <v>126</v>
      </c>
    </row>
    <row r="13" spans="1:15" x14ac:dyDescent="0.3">
      <c r="A13" s="135">
        <v>10</v>
      </c>
      <c r="B13" s="140">
        <v>45363</v>
      </c>
      <c r="C13" s="141">
        <v>45394</v>
      </c>
      <c r="D13" s="141">
        <v>45423</v>
      </c>
      <c r="E13" s="141">
        <v>45455</v>
      </c>
      <c r="F13" s="141">
        <v>45485</v>
      </c>
      <c r="G13" s="141">
        <v>45515</v>
      </c>
      <c r="H13" s="141">
        <v>45547</v>
      </c>
      <c r="I13" s="141">
        <v>45576</v>
      </c>
      <c r="J13" s="141">
        <v>45608</v>
      </c>
      <c r="K13" s="141">
        <v>45638</v>
      </c>
      <c r="L13" s="141">
        <v>45668</v>
      </c>
      <c r="M13" s="141">
        <v>45700</v>
      </c>
      <c r="O13" s="143" t="s">
        <v>127</v>
      </c>
    </row>
    <row r="14" spans="1:15" x14ac:dyDescent="0.3">
      <c r="A14" s="135">
        <v>11</v>
      </c>
      <c r="B14" s="140">
        <v>45364</v>
      </c>
      <c r="C14" s="141">
        <v>45395</v>
      </c>
      <c r="D14" s="141">
        <v>45424</v>
      </c>
      <c r="E14" s="141">
        <v>45456</v>
      </c>
      <c r="F14" s="141">
        <v>45486</v>
      </c>
      <c r="G14" s="141">
        <v>45517</v>
      </c>
      <c r="H14" s="141">
        <v>45548</v>
      </c>
      <c r="I14" s="141">
        <v>45577</v>
      </c>
      <c r="J14" s="141">
        <v>45609</v>
      </c>
      <c r="K14" s="141">
        <v>45639</v>
      </c>
      <c r="L14" s="141">
        <v>45669</v>
      </c>
      <c r="M14" s="141">
        <v>45701</v>
      </c>
      <c r="O14" s="143" t="s">
        <v>128</v>
      </c>
    </row>
    <row r="15" spans="1:15" x14ac:dyDescent="0.3">
      <c r="A15" s="135">
        <v>12</v>
      </c>
      <c r="B15" s="140">
        <v>45365</v>
      </c>
      <c r="C15" s="141">
        <v>45396</v>
      </c>
      <c r="D15" s="141">
        <v>45426</v>
      </c>
      <c r="E15" s="141">
        <v>45457</v>
      </c>
      <c r="F15" s="141">
        <v>45487</v>
      </c>
      <c r="G15" s="141">
        <v>45518</v>
      </c>
      <c r="H15" s="141">
        <v>45549</v>
      </c>
      <c r="I15" s="141">
        <v>45578</v>
      </c>
      <c r="J15" s="141">
        <v>45610</v>
      </c>
      <c r="K15" s="141">
        <v>45640</v>
      </c>
      <c r="L15" s="141">
        <v>45671</v>
      </c>
      <c r="M15" s="141">
        <v>45702</v>
      </c>
      <c r="O15" s="143" t="s">
        <v>129</v>
      </c>
    </row>
    <row r="16" spans="1:15" x14ac:dyDescent="0.3">
      <c r="A16" s="135">
        <v>13</v>
      </c>
      <c r="B16" s="140">
        <v>45366</v>
      </c>
      <c r="C16" s="141">
        <v>45398</v>
      </c>
      <c r="D16" s="141">
        <v>45427</v>
      </c>
      <c r="E16" s="141">
        <v>45458</v>
      </c>
      <c r="F16" s="141">
        <v>45489</v>
      </c>
      <c r="G16" s="141">
        <v>45519</v>
      </c>
      <c r="H16" s="141">
        <v>45550</v>
      </c>
      <c r="I16" s="141">
        <v>45580</v>
      </c>
      <c r="J16" s="141">
        <v>45611</v>
      </c>
      <c r="K16" s="141">
        <v>45641</v>
      </c>
      <c r="L16" s="141">
        <v>45672</v>
      </c>
      <c r="M16" s="141">
        <v>45703</v>
      </c>
      <c r="O16" s="143" t="s">
        <v>130</v>
      </c>
    </row>
    <row r="17" spans="1:15" x14ac:dyDescent="0.3">
      <c r="A17" s="135">
        <v>14</v>
      </c>
      <c r="B17" s="140">
        <v>45367</v>
      </c>
      <c r="C17" s="141">
        <v>45399</v>
      </c>
      <c r="D17" s="141">
        <v>45428</v>
      </c>
      <c r="E17" s="141">
        <v>45459</v>
      </c>
      <c r="F17" s="141">
        <v>45490</v>
      </c>
      <c r="G17" s="141">
        <v>45520</v>
      </c>
      <c r="H17" s="141">
        <v>45552</v>
      </c>
      <c r="I17" s="141">
        <v>45581</v>
      </c>
      <c r="J17" s="141">
        <v>45612</v>
      </c>
      <c r="K17" s="141">
        <v>45643</v>
      </c>
      <c r="L17" s="141">
        <v>45673</v>
      </c>
      <c r="M17" s="141">
        <v>45704</v>
      </c>
      <c r="O17" s="143" t="s">
        <v>131</v>
      </c>
    </row>
    <row r="18" spans="1:15" x14ac:dyDescent="0.3">
      <c r="A18" s="135">
        <v>15</v>
      </c>
      <c r="B18" s="140">
        <v>45368</v>
      </c>
      <c r="C18" s="141">
        <v>45400</v>
      </c>
      <c r="D18" s="141">
        <v>45429</v>
      </c>
      <c r="E18" s="141">
        <v>45461</v>
      </c>
      <c r="F18" s="141">
        <v>45491</v>
      </c>
      <c r="G18" s="141">
        <v>45521</v>
      </c>
      <c r="H18" s="141">
        <v>45553</v>
      </c>
      <c r="I18" s="141">
        <v>45582</v>
      </c>
      <c r="J18" s="141">
        <v>45613</v>
      </c>
      <c r="K18" s="141">
        <v>45644</v>
      </c>
      <c r="L18" s="141">
        <v>45674</v>
      </c>
      <c r="M18" s="141">
        <v>45706</v>
      </c>
      <c r="O18" s="143" t="s">
        <v>125</v>
      </c>
    </row>
    <row r="19" spans="1:15" x14ac:dyDescent="0.3">
      <c r="A19" s="135">
        <v>16</v>
      </c>
      <c r="B19" s="140">
        <v>45370</v>
      </c>
      <c r="C19" s="141">
        <v>45401</v>
      </c>
      <c r="D19" s="141">
        <v>45430</v>
      </c>
      <c r="E19" s="141">
        <v>45462</v>
      </c>
      <c r="F19" s="141">
        <v>45492</v>
      </c>
      <c r="G19" s="141">
        <v>45522</v>
      </c>
      <c r="H19" s="141">
        <v>45554</v>
      </c>
      <c r="I19" s="141">
        <v>45583</v>
      </c>
      <c r="J19" s="141">
        <v>45615</v>
      </c>
      <c r="K19" s="141">
        <v>45645</v>
      </c>
      <c r="L19" s="141">
        <v>45675</v>
      </c>
      <c r="M19" s="141">
        <v>45707</v>
      </c>
      <c r="O19" s="143" t="s">
        <v>126</v>
      </c>
    </row>
    <row r="20" spans="1:15" x14ac:dyDescent="0.3">
      <c r="A20" s="135">
        <v>17</v>
      </c>
      <c r="B20" s="140">
        <v>45371</v>
      </c>
      <c r="C20" s="141">
        <v>45402</v>
      </c>
      <c r="D20" s="141">
        <v>45431</v>
      </c>
      <c r="E20" s="141">
        <v>45463</v>
      </c>
      <c r="F20" s="141">
        <v>45493</v>
      </c>
      <c r="G20" s="141">
        <v>45524</v>
      </c>
      <c r="H20" s="141">
        <v>45555</v>
      </c>
      <c r="I20" s="141">
        <v>45584</v>
      </c>
      <c r="J20" s="141">
        <v>45616</v>
      </c>
      <c r="K20" s="141">
        <v>45646</v>
      </c>
      <c r="L20" s="141">
        <v>45676</v>
      </c>
      <c r="M20" s="141">
        <v>45708</v>
      </c>
      <c r="O20" s="143" t="s">
        <v>127</v>
      </c>
    </row>
    <row r="21" spans="1:15" x14ac:dyDescent="0.3">
      <c r="A21" s="135">
        <v>18</v>
      </c>
      <c r="B21" s="140">
        <v>45372</v>
      </c>
      <c r="C21" s="141">
        <v>45403</v>
      </c>
      <c r="D21" s="141">
        <v>45433</v>
      </c>
      <c r="E21" s="141">
        <v>45464</v>
      </c>
      <c r="F21" s="141">
        <v>45494</v>
      </c>
      <c r="G21" s="141">
        <v>45525</v>
      </c>
      <c r="H21" s="141">
        <v>45556</v>
      </c>
      <c r="I21" s="141">
        <v>45585</v>
      </c>
      <c r="J21" s="141">
        <v>45617</v>
      </c>
      <c r="K21" s="141">
        <v>45647</v>
      </c>
      <c r="L21" s="141">
        <v>45678</v>
      </c>
      <c r="M21" s="141">
        <v>45709</v>
      </c>
      <c r="O21" s="143" t="s">
        <v>128</v>
      </c>
    </row>
    <row r="22" spans="1:15" x14ac:dyDescent="0.3">
      <c r="A22" s="135">
        <v>19</v>
      </c>
      <c r="B22" s="140">
        <v>45373</v>
      </c>
      <c r="C22" s="141">
        <v>45405</v>
      </c>
      <c r="D22" s="141">
        <v>45434</v>
      </c>
      <c r="E22" s="141">
        <v>45465</v>
      </c>
      <c r="F22" s="141">
        <v>45496</v>
      </c>
      <c r="G22" s="141">
        <v>45526</v>
      </c>
      <c r="H22" s="141">
        <v>45557</v>
      </c>
      <c r="I22" s="141">
        <v>45587</v>
      </c>
      <c r="J22" s="141">
        <v>45618</v>
      </c>
      <c r="K22" s="141">
        <v>45648</v>
      </c>
      <c r="L22" s="141">
        <v>45679</v>
      </c>
      <c r="M22" s="141">
        <v>45710</v>
      </c>
      <c r="O22" s="143" t="s">
        <v>129</v>
      </c>
    </row>
    <row r="23" spans="1:15" x14ac:dyDescent="0.3">
      <c r="A23" s="135">
        <v>20</v>
      </c>
      <c r="B23" s="140">
        <v>45374</v>
      </c>
      <c r="C23" s="141">
        <v>45406</v>
      </c>
      <c r="D23" s="141">
        <v>45435</v>
      </c>
      <c r="E23" s="141">
        <v>45466</v>
      </c>
      <c r="F23" s="141">
        <v>45497</v>
      </c>
      <c r="G23" s="141">
        <v>45527</v>
      </c>
      <c r="H23" s="141">
        <v>45559</v>
      </c>
      <c r="I23" s="141">
        <v>45588</v>
      </c>
      <c r="J23" s="141">
        <v>45619</v>
      </c>
      <c r="K23" s="141">
        <v>45650</v>
      </c>
      <c r="L23" s="141">
        <v>45680</v>
      </c>
      <c r="M23" s="141">
        <v>45711</v>
      </c>
      <c r="O23" s="143" t="s">
        <v>130</v>
      </c>
    </row>
    <row r="24" spans="1:15" x14ac:dyDescent="0.3">
      <c r="A24" s="135">
        <v>21</v>
      </c>
      <c r="B24" s="140">
        <v>45375</v>
      </c>
      <c r="C24" s="141">
        <v>45407</v>
      </c>
      <c r="D24" s="141">
        <v>45436</v>
      </c>
      <c r="E24" s="141">
        <v>45468</v>
      </c>
      <c r="F24" s="141">
        <v>45498</v>
      </c>
      <c r="G24" s="141">
        <v>45528</v>
      </c>
      <c r="H24" s="141">
        <v>45560</v>
      </c>
      <c r="I24" s="141">
        <v>45589</v>
      </c>
      <c r="J24" s="141">
        <v>45620</v>
      </c>
      <c r="K24" s="141">
        <v>45651</v>
      </c>
      <c r="L24" s="141">
        <v>45681</v>
      </c>
      <c r="M24" s="141">
        <v>45713</v>
      </c>
      <c r="O24" s="143" t="s">
        <v>131</v>
      </c>
    </row>
    <row r="25" spans="1:15" x14ac:dyDescent="0.3">
      <c r="A25" s="135">
        <v>22</v>
      </c>
      <c r="B25" s="140">
        <v>45377</v>
      </c>
      <c r="C25" s="141">
        <v>45408</v>
      </c>
      <c r="D25" s="141">
        <v>45437</v>
      </c>
      <c r="E25" s="141">
        <v>45469</v>
      </c>
      <c r="F25" s="141">
        <v>45499</v>
      </c>
      <c r="G25" s="141">
        <v>45529</v>
      </c>
      <c r="H25" s="141">
        <v>45561</v>
      </c>
      <c r="I25" s="141">
        <v>45590</v>
      </c>
      <c r="J25" s="141">
        <v>45622</v>
      </c>
      <c r="K25" s="141">
        <v>45652</v>
      </c>
      <c r="L25" s="141">
        <v>45682</v>
      </c>
      <c r="M25" s="141">
        <v>45714</v>
      </c>
      <c r="O25" s="143" t="s">
        <v>125</v>
      </c>
    </row>
    <row r="26" spans="1:15" x14ac:dyDescent="0.3">
      <c r="A26" s="135">
        <v>23</v>
      </c>
      <c r="B26" s="140">
        <v>45378</v>
      </c>
      <c r="C26" s="141">
        <v>45409</v>
      </c>
      <c r="D26" s="141">
        <v>45438</v>
      </c>
      <c r="E26" s="141">
        <v>45470</v>
      </c>
      <c r="F26" s="141">
        <v>45500</v>
      </c>
      <c r="G26" s="141">
        <v>45531</v>
      </c>
      <c r="H26" s="141">
        <v>45562</v>
      </c>
      <c r="I26" s="141">
        <v>45591</v>
      </c>
      <c r="J26" s="141">
        <v>45623</v>
      </c>
      <c r="K26" s="141">
        <v>45653</v>
      </c>
      <c r="L26" s="141">
        <v>45683</v>
      </c>
      <c r="M26" s="141">
        <v>45715</v>
      </c>
      <c r="O26" s="143" t="s">
        <v>126</v>
      </c>
    </row>
    <row r="27" spans="1:15" x14ac:dyDescent="0.3">
      <c r="A27" s="135">
        <v>24</v>
      </c>
      <c r="B27" s="140">
        <v>45379</v>
      </c>
      <c r="C27" s="141">
        <v>45410</v>
      </c>
      <c r="D27" s="141">
        <v>45440</v>
      </c>
      <c r="E27" s="141">
        <v>45471</v>
      </c>
      <c r="F27" s="141">
        <v>45501</v>
      </c>
      <c r="G27" s="141">
        <v>45532</v>
      </c>
      <c r="H27" s="141">
        <v>45563</v>
      </c>
      <c r="I27" s="141">
        <v>45592</v>
      </c>
      <c r="J27" s="141">
        <v>45624</v>
      </c>
      <c r="K27" s="141">
        <v>45654</v>
      </c>
      <c r="L27" s="141">
        <v>45685</v>
      </c>
      <c r="M27" s="141">
        <v>45716</v>
      </c>
      <c r="O27" s="143" t="s">
        <v>127</v>
      </c>
    </row>
    <row r="28" spans="1:15" x14ac:dyDescent="0.3">
      <c r="A28" s="135">
        <v>25</v>
      </c>
      <c r="B28" s="140">
        <v>45380</v>
      </c>
      <c r="C28" s="141">
        <v>45412</v>
      </c>
      <c r="D28" s="141">
        <v>45441</v>
      </c>
      <c r="E28" s="141">
        <v>45472</v>
      </c>
      <c r="F28" s="141">
        <v>45503</v>
      </c>
      <c r="G28" s="141">
        <v>45533</v>
      </c>
      <c r="H28" s="141">
        <v>45564</v>
      </c>
      <c r="I28" s="141">
        <v>45594</v>
      </c>
      <c r="J28" s="141">
        <v>45625</v>
      </c>
      <c r="K28" s="141">
        <v>45655</v>
      </c>
      <c r="L28" s="141">
        <v>45686</v>
      </c>
      <c r="M28" s="141" t="e">
        <v>#N/A</v>
      </c>
      <c r="O28" s="143" t="s">
        <v>128</v>
      </c>
    </row>
    <row r="29" spans="1:15" x14ac:dyDescent="0.3">
      <c r="A29" s="135">
        <v>26</v>
      </c>
      <c r="B29" s="140">
        <v>45381</v>
      </c>
      <c r="C29" s="141" t="e">
        <v>#N/A</v>
      </c>
      <c r="D29" s="141">
        <v>45442</v>
      </c>
      <c r="E29" s="141">
        <v>45473</v>
      </c>
      <c r="F29" s="141">
        <v>45504</v>
      </c>
      <c r="G29" s="141">
        <v>45534</v>
      </c>
      <c r="H29" s="140"/>
      <c r="I29" s="141">
        <v>45595</v>
      </c>
      <c r="J29" s="141">
        <v>45626</v>
      </c>
      <c r="K29" s="141">
        <v>45657</v>
      </c>
      <c r="L29" s="141">
        <v>45687</v>
      </c>
      <c r="M29" s="141" t="e">
        <v>#N/A</v>
      </c>
      <c r="O29" s="143" t="s">
        <v>129</v>
      </c>
    </row>
    <row r="30" spans="1:15" x14ac:dyDescent="0.3">
      <c r="A30" s="135">
        <v>27</v>
      </c>
      <c r="B30" s="140">
        <v>45382</v>
      </c>
      <c r="C30" s="141" t="e">
        <v>#N/A</v>
      </c>
      <c r="D30" s="141">
        <v>45443</v>
      </c>
      <c r="E30" s="141" t="e">
        <v>#N/A</v>
      </c>
      <c r="F30" s="141" t="e">
        <v>#N/A</v>
      </c>
      <c r="G30" s="141">
        <v>45535</v>
      </c>
      <c r="H30" s="140"/>
      <c r="I30" s="141">
        <v>45596</v>
      </c>
      <c r="J30" s="141" t="e">
        <v>#N/A</v>
      </c>
      <c r="K30" s="141" t="e">
        <v>#N/A</v>
      </c>
      <c r="L30" s="141">
        <v>45688</v>
      </c>
      <c r="M30" s="141" t="e">
        <v>#N/A</v>
      </c>
      <c r="O30" s="143" t="s">
        <v>130</v>
      </c>
    </row>
    <row r="31" spans="1:15" x14ac:dyDescent="0.3">
      <c r="A31" s="136"/>
      <c r="O31" s="1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Card</vt:lpstr>
      <vt:lpstr>Student Information</vt:lpstr>
      <vt:lpstr>Marks Input</vt:lpstr>
      <vt:lpstr>FM-1</vt:lpstr>
      <vt:lpstr>FM-2</vt:lpstr>
      <vt:lpstr>Students Attendance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  Khan Alizai</dc:creator>
  <cp:lastModifiedBy>zai khan</cp:lastModifiedBy>
  <cp:lastPrinted>2026-10-20T07:10:38Z</cp:lastPrinted>
  <dcterms:created xsi:type="dcterms:W3CDTF">2024-08-06T08:45:56Z</dcterms:created>
  <dcterms:modified xsi:type="dcterms:W3CDTF">2026-10-20T07:23:08Z</dcterms:modified>
</cp:coreProperties>
</file>